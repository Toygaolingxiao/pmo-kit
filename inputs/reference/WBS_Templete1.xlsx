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xr:revisionPtr revIDLastSave="0" documentId="8_{4728FF83-46AF-4CBF-BCB0-269BDFC64D20}" xr6:coauthVersionLast="47" xr6:coauthVersionMax="47" xr10:uidLastSave="{00000000-0000-0000-0000-000000000000}"/>
  <bookViews>
    <workbookView xWindow="-108" yWindow="-108" windowWidth="23256" windowHeight="13896" xr2:uid="{FA2DDB1F-F807-481E-8A32-15711CAF6432}"/>
  </bookViews>
  <sheets>
    <sheet name="WBS" sheetId="13" r:id="rId1"/>
    <sheet name="説明" sheetId="5" r:id="rId2"/>
    <sheet name="変更履歴" sheetId="11" r:id="rId3"/>
    <sheet name="サンプル" sheetId="12" r:id="rId4"/>
  </sheets>
  <definedNames>
    <definedName name="EndDayColumn" localSheetId="0">WBS!$N:$N</definedName>
    <definedName name="EndDayColumn">#REF!</definedName>
    <definedName name="PlannedEndDayColumn" localSheetId="0">WBS!$K:$K</definedName>
    <definedName name="PlannedEndDayColumn">#REF!</definedName>
    <definedName name="PlannedStartDayColumn" localSheetId="0">WBS!$J:$J</definedName>
    <definedName name="PlannedStartDayColumn">#REF!</definedName>
    <definedName name="_xlnm.Print_Area" localSheetId="0">WBS!$A$1:$BU$89</definedName>
    <definedName name="_xlnm.Print_Area" localSheetId="2">変更履歴!$A$1:$E$24</definedName>
    <definedName name="_xlnm.Print_Titles" localSheetId="0">WBS!$B:$Q,WBS!$1:$12</definedName>
    <definedName name="_xlnm.Print_Titles" localSheetId="3">サンプル!$11:$12</definedName>
    <definedName name="ProgressPercentageColumn" localSheetId="0">WBS!$Q:$Q</definedName>
    <definedName name="ProgressPercentageColumn">#REF!</definedName>
    <definedName name="ProjectStartDay" localSheetId="0">WBS!$E$1</definedName>
    <definedName name="ProjectStartDay">#REF!</definedName>
    <definedName name="StartDayColumn" localSheetId="0">WBS!$M:$M</definedName>
    <definedName name="StartDayColumn">#REF!</definedName>
    <definedName name="TaskNumberColumn" localSheetId="0">WBS!$B:$B</definedName>
    <definedName name="TaskNumberColumn">#REF!</definedName>
    <definedName name="WorkDaysColumn" localSheetId="0">WBS!$P:$P</definedName>
    <definedName name="WorkDaysColumn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9" i="13" l="1"/>
  <c r="P168" i="13"/>
  <c r="P167" i="13"/>
  <c r="P166" i="13"/>
  <c r="P165" i="13"/>
  <c r="P164" i="13"/>
  <c r="P163" i="13"/>
  <c r="P162" i="13"/>
  <c r="P161" i="13"/>
  <c r="P160" i="13"/>
  <c r="P159" i="13"/>
  <c r="P158" i="13"/>
  <c r="P157" i="13"/>
  <c r="P156" i="13"/>
  <c r="P155" i="13"/>
  <c r="P154" i="13"/>
  <c r="P153" i="13"/>
  <c r="P152" i="13"/>
  <c r="P151" i="13"/>
  <c r="P150" i="13"/>
  <c r="P149" i="13"/>
  <c r="P148" i="13"/>
  <c r="P147" i="13"/>
  <c r="P146" i="13"/>
  <c r="P145" i="13"/>
  <c r="P144" i="13"/>
  <c r="P143" i="13"/>
  <c r="P142" i="13"/>
  <c r="P141" i="13"/>
  <c r="P140" i="13"/>
  <c r="P139" i="13"/>
  <c r="P138" i="13"/>
  <c r="P137" i="13"/>
  <c r="P136" i="13"/>
  <c r="P135" i="13"/>
  <c r="P134" i="13"/>
  <c r="P133" i="13"/>
  <c r="P132" i="13"/>
  <c r="P131" i="13"/>
  <c r="P130" i="13"/>
  <c r="P129" i="13"/>
  <c r="P128" i="13"/>
  <c r="P127" i="13"/>
  <c r="P126" i="13"/>
  <c r="P125" i="13"/>
  <c r="P124" i="13"/>
  <c r="P123" i="13"/>
  <c r="P122" i="13"/>
  <c r="P121" i="13"/>
  <c r="P120" i="13"/>
  <c r="P119" i="13"/>
  <c r="P118" i="13"/>
  <c r="P117" i="13"/>
  <c r="P116" i="13"/>
  <c r="P115" i="13"/>
  <c r="P114" i="13"/>
  <c r="P113" i="13"/>
  <c r="P112" i="13"/>
  <c r="P111" i="13"/>
  <c r="P110" i="13"/>
  <c r="P109" i="13"/>
  <c r="P108" i="13"/>
  <c r="P107" i="13"/>
  <c r="P106" i="13"/>
  <c r="P105" i="13"/>
  <c r="P104" i="13"/>
  <c r="P103" i="13"/>
  <c r="P102" i="13"/>
  <c r="P101" i="13"/>
  <c r="P100" i="13"/>
  <c r="P99" i="13"/>
  <c r="P98" i="13"/>
  <c r="P97" i="13"/>
  <c r="P96" i="13"/>
  <c r="P95" i="13"/>
  <c r="P94" i="13"/>
  <c r="P93" i="13"/>
  <c r="P92" i="13"/>
  <c r="P91" i="13"/>
  <c r="P90" i="13"/>
  <c r="P89" i="13"/>
  <c r="P88" i="13"/>
  <c r="P87" i="13"/>
  <c r="P86" i="13"/>
  <c r="P85" i="13"/>
  <c r="P84" i="13"/>
  <c r="P83" i="13"/>
  <c r="P82" i="13"/>
  <c r="P81" i="13"/>
  <c r="P80" i="13"/>
  <c r="P79" i="13"/>
  <c r="P78" i="13"/>
  <c r="P77" i="13"/>
  <c r="P76" i="13"/>
  <c r="P75" i="13"/>
  <c r="P74" i="13"/>
  <c r="P73" i="13"/>
  <c r="P72" i="13"/>
  <c r="P71" i="13"/>
  <c r="P70" i="13"/>
  <c r="P69" i="13"/>
  <c r="P68" i="13"/>
  <c r="P67" i="13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3" i="13"/>
  <c r="R12" i="13"/>
  <c r="B73" i="13"/>
  <c r="B47" i="13"/>
  <c r="O47" i="13"/>
  <c r="O49" i="13"/>
  <c r="O48" i="13"/>
  <c r="O46" i="13"/>
  <c r="B49" i="13"/>
  <c r="B50" i="13"/>
  <c r="B48" i="13"/>
  <c r="B46" i="13"/>
  <c r="B31" i="13"/>
  <c r="B30" i="13"/>
  <c r="B29" i="13"/>
  <c r="O31" i="13"/>
  <c r="O30" i="13"/>
  <c r="O88" i="13"/>
  <c r="B90" i="13"/>
  <c r="B89" i="13"/>
  <c r="B88" i="13"/>
  <c r="B84" i="13"/>
  <c r="B83" i="13"/>
  <c r="B82" i="13"/>
  <c r="B81" i="13"/>
  <c r="O80" i="13"/>
  <c r="B80" i="13"/>
  <c r="B79" i="13"/>
  <c r="O78" i="13"/>
  <c r="B78" i="13"/>
  <c r="B77" i="13"/>
  <c r="B76" i="13"/>
  <c r="O87" i="13"/>
  <c r="O73" i="13"/>
  <c r="O62" i="13"/>
  <c r="B62" i="13"/>
  <c r="O75" i="13"/>
  <c r="O74" i="13"/>
  <c r="O72" i="13"/>
  <c r="O71" i="13"/>
  <c r="O69" i="13"/>
  <c r="O68" i="13"/>
  <c r="O67" i="13"/>
  <c r="O64" i="13"/>
  <c r="O63" i="13"/>
  <c r="O61" i="13"/>
  <c r="O60" i="13"/>
  <c r="O58" i="13"/>
  <c r="O59" i="13"/>
  <c r="O57" i="13"/>
  <c r="O56" i="13"/>
  <c r="O55" i="13"/>
  <c r="O53" i="13"/>
  <c r="O52" i="13"/>
  <c r="O51" i="13"/>
  <c r="O45" i="13"/>
  <c r="O44" i="13"/>
  <c r="O43" i="13"/>
  <c r="O42" i="13"/>
  <c r="O15" i="13"/>
  <c r="O20" i="13"/>
  <c r="O23" i="13"/>
  <c r="O27" i="13"/>
  <c r="O32" i="13"/>
  <c r="O40" i="13"/>
  <c r="O39" i="13"/>
  <c r="O38" i="13"/>
  <c r="O37" i="13"/>
  <c r="O36" i="13"/>
  <c r="O35" i="13"/>
  <c r="O28" i="13"/>
  <c r="O26" i="13"/>
  <c r="O25" i="13"/>
  <c r="O22" i="13"/>
  <c r="O21" i="13"/>
  <c r="O19" i="13"/>
  <c r="O18" i="13"/>
  <c r="O14" i="13"/>
  <c r="B43" i="13"/>
  <c r="B71" i="13"/>
  <c r="B72" i="13"/>
  <c r="P14" i="13"/>
  <c r="B96" i="13"/>
  <c r="B95" i="13"/>
  <c r="B94" i="13"/>
  <c r="B93" i="13"/>
  <c r="B92" i="13"/>
  <c r="B91" i="13"/>
  <c r="B87" i="13"/>
  <c r="B86" i="13"/>
  <c r="B85" i="13"/>
  <c r="B75" i="13"/>
  <c r="B74" i="13"/>
  <c r="B70" i="13"/>
  <c r="B69" i="13"/>
  <c r="B68" i="13"/>
  <c r="B67" i="13"/>
  <c r="B66" i="13"/>
  <c r="B65" i="13"/>
  <c r="B64" i="13"/>
  <c r="B63" i="13"/>
  <c r="B61" i="13"/>
  <c r="B60" i="13"/>
  <c r="B58" i="13"/>
  <c r="B59" i="13"/>
  <c r="B57" i="13"/>
  <c r="B56" i="13"/>
  <c r="B55" i="13"/>
  <c r="B54" i="13"/>
  <c r="B53" i="13"/>
  <c r="B52" i="13"/>
  <c r="B51" i="13"/>
  <c r="B45" i="13"/>
  <c r="B44" i="13"/>
  <c r="B42" i="13"/>
  <c r="B41" i="13"/>
  <c r="B40" i="13"/>
  <c r="B39" i="13"/>
  <c r="B38" i="13"/>
  <c r="B37" i="13"/>
  <c r="B36" i="13"/>
  <c r="B35" i="13"/>
  <c r="B34" i="13"/>
  <c r="B33" i="13"/>
  <c r="B32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4" i="13"/>
  <c r="B15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3" i="13"/>
  <c r="P287" i="13"/>
  <c r="P286" i="13"/>
  <c r="P285" i="13"/>
  <c r="P284" i="13"/>
  <c r="P283" i="13"/>
  <c r="P282" i="13"/>
  <c r="P281" i="13"/>
  <c r="P280" i="13"/>
  <c r="P279" i="13"/>
  <c r="P278" i="13"/>
  <c r="P277" i="13"/>
  <c r="P276" i="13"/>
  <c r="P275" i="13"/>
  <c r="P274" i="13"/>
  <c r="P273" i="13"/>
  <c r="P272" i="13"/>
  <c r="P271" i="13"/>
  <c r="P270" i="13"/>
  <c r="P269" i="13"/>
  <c r="P268" i="13"/>
  <c r="P267" i="13"/>
  <c r="P266" i="13"/>
  <c r="P265" i="13"/>
  <c r="P264" i="13"/>
  <c r="P263" i="13"/>
  <c r="P262" i="13"/>
  <c r="P261" i="13"/>
  <c r="P260" i="13"/>
  <c r="P259" i="13"/>
  <c r="P258" i="13"/>
  <c r="P257" i="13"/>
  <c r="P256" i="13"/>
  <c r="P255" i="13"/>
  <c r="P254" i="13"/>
  <c r="P253" i="13"/>
  <c r="P252" i="13"/>
  <c r="P251" i="13"/>
  <c r="P250" i="13"/>
  <c r="P249" i="13"/>
  <c r="P248" i="13"/>
  <c r="P247" i="13"/>
  <c r="P246" i="13"/>
  <c r="P245" i="13"/>
  <c r="P244" i="13"/>
  <c r="P243" i="13"/>
  <c r="P242" i="13"/>
  <c r="P241" i="13"/>
  <c r="P240" i="13"/>
  <c r="P239" i="13"/>
  <c r="P238" i="13"/>
  <c r="P237" i="13"/>
  <c r="P236" i="13"/>
  <c r="P235" i="13"/>
  <c r="P234" i="13"/>
  <c r="P233" i="13"/>
  <c r="P232" i="13"/>
  <c r="P231" i="13"/>
  <c r="P230" i="13"/>
  <c r="P229" i="13"/>
  <c r="P228" i="13"/>
  <c r="P227" i="13"/>
  <c r="P226" i="13"/>
  <c r="P225" i="13"/>
  <c r="P224" i="13"/>
  <c r="P223" i="13"/>
  <c r="P222" i="13"/>
  <c r="P221" i="13"/>
  <c r="P220" i="13"/>
  <c r="P219" i="13"/>
  <c r="P218" i="13"/>
  <c r="P217" i="13"/>
  <c r="P216" i="13"/>
  <c r="P215" i="13"/>
  <c r="P214" i="13"/>
  <c r="P213" i="13"/>
  <c r="P212" i="13"/>
  <c r="P211" i="13"/>
  <c r="P210" i="13"/>
  <c r="P209" i="13"/>
  <c r="P208" i="13"/>
  <c r="P207" i="13"/>
  <c r="P206" i="13"/>
  <c r="P205" i="13"/>
  <c r="P204" i="13"/>
  <c r="P203" i="13"/>
  <c r="P202" i="13"/>
  <c r="P201" i="13"/>
  <c r="P200" i="13"/>
  <c r="P199" i="13"/>
  <c r="P198" i="13"/>
  <c r="P197" i="13"/>
  <c r="P196" i="13"/>
  <c r="P195" i="13"/>
  <c r="P194" i="13"/>
  <c r="P193" i="13"/>
  <c r="P192" i="13"/>
  <c r="P191" i="13"/>
  <c r="P190" i="13"/>
  <c r="P189" i="13"/>
  <c r="P188" i="13"/>
  <c r="P187" i="13"/>
  <c r="P186" i="13"/>
  <c r="P185" i="13"/>
  <c r="P184" i="13"/>
  <c r="P183" i="13"/>
  <c r="P182" i="13"/>
  <c r="P181" i="13"/>
  <c r="P180" i="13"/>
  <c r="P179" i="13"/>
  <c r="P178" i="13"/>
  <c r="P177" i="13"/>
  <c r="P176" i="13"/>
  <c r="P175" i="13"/>
  <c r="P174" i="13"/>
  <c r="P173" i="13"/>
  <c r="P172" i="13"/>
  <c r="P171" i="13"/>
  <c r="P170" i="13"/>
  <c r="R11" i="13"/>
  <c r="R10" i="13"/>
  <c r="S11" i="13"/>
  <c r="S10" i="13"/>
  <c r="T11" i="13"/>
  <c r="S12" i="13"/>
  <c r="T12" i="13"/>
  <c r="T10" i="13"/>
  <c r="U11" i="13"/>
  <c r="U12" i="13"/>
  <c r="U10" i="13"/>
  <c r="V11" i="13"/>
  <c r="V12" i="13"/>
  <c r="V10" i="13"/>
  <c r="W11" i="13"/>
  <c r="W12" i="13"/>
  <c r="W10" i="13"/>
  <c r="X11" i="13"/>
  <c r="Y11" i="13"/>
  <c r="X10" i="13"/>
  <c r="X12" i="13"/>
  <c r="Z11" i="13"/>
  <c r="Y12" i="13"/>
  <c r="Y10" i="13"/>
  <c r="Z12" i="13"/>
  <c r="AA11" i="13"/>
  <c r="Z10" i="13"/>
  <c r="AB11" i="13"/>
  <c r="AA10" i="13"/>
  <c r="AA12" i="13"/>
  <c r="AB12" i="13"/>
  <c r="AC11" i="13"/>
  <c r="AB10" i="13"/>
  <c r="AC12" i="13"/>
  <c r="AC10" i="13"/>
  <c r="AD11" i="13"/>
  <c r="AD12" i="13"/>
  <c r="AD10" i="13"/>
  <c r="AE11" i="13"/>
  <c r="AE10" i="13"/>
  <c r="AF11" i="13"/>
  <c r="AE12" i="13"/>
  <c r="AF10" i="13"/>
  <c r="AG11" i="13"/>
  <c r="AF12" i="13"/>
  <c r="AG12" i="13"/>
  <c r="AG10" i="13"/>
  <c r="AH11" i="13"/>
  <c r="AI11" i="13"/>
  <c r="AH12" i="13"/>
  <c r="AH10" i="13"/>
  <c r="AI12" i="13"/>
  <c r="AJ11" i="13"/>
  <c r="AI10" i="13"/>
  <c r="AJ10" i="13"/>
  <c r="AJ12" i="13"/>
  <c r="AK11" i="13"/>
  <c r="AL11" i="13"/>
  <c r="AK10" i="13"/>
  <c r="AK12" i="13"/>
  <c r="AL10" i="13"/>
  <c r="AL12" i="13"/>
  <c r="AM11" i="13"/>
  <c r="AM10" i="13"/>
  <c r="AM12" i="13"/>
  <c r="AN11" i="13"/>
  <c r="AN10" i="13"/>
  <c r="AO11" i="13"/>
  <c r="AN12" i="13"/>
  <c r="AP11" i="13"/>
  <c r="AO10" i="13"/>
  <c r="AO12" i="13"/>
  <c r="AQ11" i="13"/>
  <c r="AP10" i="13"/>
  <c r="AP12" i="13"/>
  <c r="AQ12" i="13"/>
  <c r="AR11" i="13"/>
  <c r="AQ10" i="13"/>
  <c r="AR12" i="13"/>
  <c r="AS11" i="13"/>
  <c r="AR10" i="13"/>
  <c r="AT11" i="13"/>
  <c r="AS10" i="13"/>
  <c r="AS12" i="13"/>
  <c r="AT10" i="13"/>
  <c r="AT12" i="13"/>
  <c r="AU11" i="13"/>
  <c r="AV11" i="13"/>
  <c r="AU10" i="13"/>
  <c r="AU12" i="13"/>
  <c r="AW11" i="13"/>
  <c r="AV10" i="13"/>
  <c r="AV12" i="13"/>
  <c r="AX11" i="13"/>
  <c r="AW10" i="13"/>
  <c r="AW12" i="13"/>
  <c r="AY11" i="13"/>
  <c r="AX12" i="13"/>
  <c r="AX10" i="13"/>
  <c r="AZ11" i="13"/>
  <c r="AY10" i="13"/>
  <c r="AY12" i="13"/>
  <c r="AZ10" i="13"/>
  <c r="AZ12" i="13"/>
  <c r="BA11" i="13"/>
  <c r="BA10" i="13"/>
  <c r="BA12" i="13"/>
  <c r="BB11" i="13"/>
  <c r="BB12" i="13"/>
  <c r="BB10" i="13"/>
  <c r="BC11" i="13"/>
  <c r="BC12" i="13"/>
  <c r="BC10" i="13"/>
  <c r="BD11" i="13"/>
  <c r="BD12" i="13"/>
  <c r="BE11" i="13"/>
  <c r="BD10" i="13"/>
  <c r="BE12" i="13"/>
  <c r="BF11" i="13"/>
  <c r="BE10" i="13"/>
  <c r="BF10" i="13"/>
  <c r="BG11" i="13"/>
  <c r="BF12" i="13"/>
  <c r="BG12" i="13"/>
  <c r="BG10" i="13"/>
  <c r="BH11" i="13"/>
  <c r="BH10" i="13"/>
  <c r="BH12" i="13"/>
  <c r="BI11" i="13"/>
  <c r="BI12" i="13"/>
  <c r="BI10" i="13"/>
  <c r="BJ11" i="13"/>
  <c r="BJ10" i="13"/>
  <c r="BK11" i="13"/>
  <c r="BJ12" i="13"/>
  <c r="BK12" i="13"/>
  <c r="BL11" i="13"/>
  <c r="BK10" i="13"/>
  <c r="BL10" i="13"/>
  <c r="BL12" i="13"/>
  <c r="BM11" i="13"/>
  <c r="BM10" i="13"/>
  <c r="BN11" i="13"/>
  <c r="BM12" i="13"/>
  <c r="BN12" i="13"/>
  <c r="BO11" i="13"/>
  <c r="BN10" i="13"/>
  <c r="BO10" i="13"/>
  <c r="BP11" i="13"/>
  <c r="BO12" i="13"/>
  <c r="BP12" i="13"/>
  <c r="BQ11" i="13"/>
  <c r="BP10" i="13"/>
  <c r="BQ12" i="13"/>
  <c r="BR11" i="13"/>
  <c r="BQ10" i="13"/>
  <c r="BR12" i="13"/>
  <c r="BR10" i="13"/>
  <c r="BS11" i="13"/>
  <c r="BT11" i="13"/>
  <c r="BS12" i="13"/>
  <c r="BS10" i="13"/>
  <c r="BT12" i="13"/>
  <c r="BT10" i="13"/>
  <c r="BU11" i="13"/>
  <c r="BU10" i="13"/>
  <c r="BU12" i="13"/>
  <c r="BV11" i="13"/>
  <c r="BV12" i="13"/>
  <c r="BW11" i="13"/>
  <c r="BV10" i="13"/>
  <c r="BW12" i="13"/>
  <c r="BX11" i="13"/>
  <c r="BW10" i="13"/>
  <c r="BY11" i="13"/>
  <c r="BX10" i="13"/>
  <c r="BX12" i="13"/>
  <c r="BY10" i="13"/>
  <c r="BY12" i="13"/>
  <c r="BZ11" i="13"/>
  <c r="CA11" i="13"/>
  <c r="BZ10" i="13"/>
  <c r="BZ12" i="13"/>
  <c r="CA10" i="13"/>
  <c r="CA12" i="13"/>
  <c r="CB11" i="13"/>
  <c r="CB10" i="13"/>
  <c r="CC11" i="13"/>
  <c r="CB12" i="13"/>
  <c r="CC10" i="13"/>
  <c r="CC12" i="13"/>
  <c r="CD11" i="13"/>
  <c r="CD12" i="13"/>
  <c r="CE11" i="13"/>
  <c r="CD10" i="13"/>
  <c r="CE10" i="13"/>
  <c r="CE12" i="13"/>
  <c r="CF11" i="13"/>
  <c r="CG11" i="13"/>
  <c r="CF12" i="13"/>
  <c r="CF10" i="13"/>
  <c r="CH11" i="13"/>
  <c r="CG10" i="13"/>
  <c r="CG12" i="13"/>
  <c r="CH10" i="13"/>
  <c r="CH12" i="13"/>
  <c r="CI11" i="13"/>
  <c r="CI12" i="13"/>
  <c r="CJ11" i="13"/>
  <c r="CI10" i="13"/>
  <c r="CJ12" i="13"/>
  <c r="CJ10" i="13"/>
  <c r="CK11" i="13"/>
  <c r="CK12" i="13"/>
  <c r="CK10" i="13"/>
  <c r="CL11" i="13"/>
  <c r="CM11" i="13"/>
  <c r="CL12" i="13"/>
  <c r="CL10" i="13"/>
  <c r="CM10" i="13"/>
  <c r="CM12" i="13"/>
  <c r="CN11" i="13"/>
  <c r="CN10" i="13"/>
  <c r="CO11" i="13"/>
  <c r="CN12" i="13"/>
  <c r="CP11" i="13"/>
  <c r="CO10" i="13"/>
  <c r="CO12" i="13"/>
  <c r="CP12" i="13"/>
  <c r="CQ11" i="13"/>
  <c r="CP10" i="13"/>
  <c r="CQ12" i="13"/>
  <c r="CQ10" i="13"/>
  <c r="CR11" i="13"/>
  <c r="CS11" i="13"/>
  <c r="CR12" i="13"/>
  <c r="CR10" i="13"/>
  <c r="CS12" i="13"/>
  <c r="CS10" i="13"/>
  <c r="CT11" i="13"/>
  <c r="CT10" i="13"/>
  <c r="CT12" i="13"/>
  <c r="CU11" i="13"/>
  <c r="CU10" i="13"/>
  <c r="CU12" i="13"/>
  <c r="CV11" i="13"/>
  <c r="CV10" i="13"/>
  <c r="CV12" i="13"/>
  <c r="CW11" i="13"/>
  <c r="CW12" i="13"/>
  <c r="CW10" i="13"/>
  <c r="CX11" i="13"/>
  <c r="CX12" i="13"/>
  <c r="CY11" i="13"/>
  <c r="CX10" i="13"/>
  <c r="CY12" i="13"/>
  <c r="CY10" i="13"/>
  <c r="CZ11" i="13"/>
  <c r="CZ12" i="13"/>
  <c r="DA11" i="13"/>
  <c r="CZ10" i="13"/>
  <c r="DA10" i="13"/>
  <c r="DB11" i="13"/>
  <c r="DA12" i="13"/>
  <c r="DB12" i="13"/>
  <c r="DC11" i="13"/>
  <c r="DB10" i="13"/>
  <c r="DD11" i="13"/>
  <c r="DC10" i="13"/>
  <c r="DC12" i="13"/>
  <c r="DD10" i="13"/>
  <c r="DE11" i="13"/>
  <c r="DD12" i="13"/>
  <c r="DE12" i="13"/>
  <c r="DE10" i="13"/>
  <c r="DF11" i="13"/>
  <c r="DF12" i="13"/>
  <c r="DF10" i="13"/>
  <c r="DG11" i="13"/>
  <c r="DH11" i="13"/>
  <c r="DG12" i="13"/>
  <c r="DG10" i="13"/>
  <c r="DI11" i="13"/>
  <c r="DH10" i="13"/>
  <c r="DH12" i="13"/>
  <c r="DI10" i="13"/>
  <c r="DJ11" i="13"/>
  <c r="DI12" i="13"/>
  <c r="DJ12" i="13"/>
  <c r="DK11" i="13"/>
  <c r="DJ10" i="13"/>
  <c r="DK10" i="13"/>
  <c r="DL11" i="13"/>
  <c r="DK12" i="13"/>
  <c r="DM11" i="13"/>
  <c r="DL10" i="13"/>
  <c r="DL12" i="13"/>
  <c r="DM12" i="13"/>
  <c r="DN11" i="13"/>
  <c r="DM10" i="13"/>
  <c r="DN10" i="13"/>
  <c r="DO11" i="13"/>
  <c r="DN12" i="13"/>
  <c r="DP11" i="13"/>
  <c r="DO12" i="13"/>
  <c r="DO10" i="13"/>
  <c r="DP10" i="13"/>
  <c r="DQ11" i="13"/>
  <c r="DP12" i="13"/>
  <c r="DR11" i="13"/>
  <c r="DQ12" i="13"/>
  <c r="DQ10" i="13"/>
  <c r="DR12" i="13"/>
  <c r="DR10" i="13"/>
  <c r="DS11" i="13"/>
  <c r="DS12" i="13"/>
  <c r="DT11" i="13"/>
  <c r="DS10" i="13"/>
  <c r="DT12" i="13"/>
  <c r="DT10" i="13"/>
  <c r="DU11" i="13"/>
  <c r="DU12" i="13"/>
  <c r="DV11" i="13"/>
  <c r="DU10" i="13"/>
  <c r="DV10" i="13"/>
  <c r="DV12" i="13"/>
  <c r="DW11" i="13"/>
  <c r="DW12" i="13"/>
  <c r="DX11" i="13"/>
  <c r="DW10" i="13"/>
  <c r="DX12" i="13"/>
  <c r="DX10" i="13"/>
  <c r="DY11" i="13"/>
  <c r="DY10" i="13"/>
  <c r="DZ11" i="13"/>
  <c r="DY12" i="13"/>
  <c r="DZ10" i="13"/>
  <c r="DZ12" i="13"/>
  <c r="EA11" i="13"/>
  <c r="EA10" i="13"/>
  <c r="EA12" i="13"/>
  <c r="EB11" i="13"/>
  <c r="EB10" i="13"/>
  <c r="EB12" i="13"/>
  <c r="EC11" i="13"/>
  <c r="EC10" i="13"/>
  <c r="EC12" i="13"/>
  <c r="ED11" i="13"/>
  <c r="ED10" i="13"/>
  <c r="ED12" i="13"/>
  <c r="EE11" i="13"/>
  <c r="EF11" i="13"/>
  <c r="EE10" i="13"/>
  <c r="EE12" i="13"/>
  <c r="EG11" i="13"/>
  <c r="EF12" i="13"/>
  <c r="EF10" i="13"/>
  <c r="EH11" i="13"/>
  <c r="EG10" i="13"/>
  <c r="EG12" i="13"/>
  <c r="EH12" i="13"/>
  <c r="EI11" i="13"/>
  <c r="EH10" i="13"/>
  <c r="EJ11" i="13"/>
  <c r="EI10" i="13"/>
  <c r="EI12" i="13"/>
  <c r="EJ10" i="13"/>
  <c r="EJ12" i="13"/>
  <c r="EK11" i="13"/>
  <c r="EL11" i="13"/>
  <c r="EK10" i="13"/>
  <c r="EK12" i="13"/>
  <c r="EM11" i="13"/>
  <c r="EL12" i="13"/>
  <c r="EL10" i="13"/>
  <c r="EM10" i="13"/>
  <c r="EM12" i="13"/>
  <c r="EN11" i="13"/>
  <c r="EN12" i="13"/>
  <c r="EN10" i="13"/>
  <c r="EO11" i="13"/>
  <c r="EO12" i="13"/>
  <c r="EO10" i="13"/>
  <c r="EP11" i="13"/>
  <c r="EP12" i="13"/>
  <c r="EQ11" i="13"/>
  <c r="EP10" i="13"/>
  <c r="EQ10" i="13"/>
  <c r="EQ12" i="13"/>
  <c r="ER11" i="13"/>
  <c r="ER12" i="13"/>
  <c r="ER10" i="13"/>
  <c r="ES11" i="13"/>
  <c r="ES12" i="13"/>
  <c r="ET11" i="13"/>
  <c r="ES10" i="13"/>
  <c r="EU11" i="13"/>
  <c r="ET10" i="13"/>
  <c r="ET12" i="13"/>
  <c r="EV11" i="13"/>
  <c r="EU10" i="13"/>
  <c r="EU12" i="13"/>
  <c r="EW11" i="13"/>
  <c r="EV10" i="13"/>
  <c r="EV12" i="13"/>
  <c r="EW12" i="13"/>
  <c r="EW10" i="13"/>
  <c r="EX11" i="13"/>
  <c r="EX12" i="13"/>
  <c r="EX10" i="13"/>
  <c r="EY11" i="13"/>
  <c r="EY12" i="13"/>
  <c r="EZ11" i="13"/>
  <c r="EY10" i="13"/>
  <c r="FA11" i="13"/>
  <c r="EZ12" i="13"/>
  <c r="EZ10" i="13"/>
  <c r="FA12" i="13"/>
  <c r="FB11" i="13"/>
  <c r="FA10" i="13"/>
  <c r="FC11" i="13"/>
  <c r="FB10" i="13"/>
  <c r="FB12" i="13"/>
  <c r="FD11" i="13"/>
  <c r="FC12" i="13"/>
  <c r="FC10" i="13"/>
  <c r="FD12" i="13"/>
  <c r="FD10" i="13"/>
  <c r="FE11" i="13"/>
  <c r="FE10" i="13"/>
  <c r="FF11" i="13"/>
  <c r="FE12" i="13"/>
  <c r="FF12" i="13"/>
  <c r="FF10" i="13"/>
  <c r="FG11" i="13"/>
  <c r="FH11" i="13"/>
  <c r="FG10" i="13"/>
  <c r="FG12" i="13"/>
  <c r="FH10" i="13"/>
  <c r="FI11" i="13"/>
  <c r="FH12" i="13"/>
  <c r="FI12" i="13"/>
  <c r="FI10" i="13"/>
  <c r="FJ11" i="13"/>
  <c r="FJ10" i="13"/>
  <c r="FJ12" i="13"/>
  <c r="FK11" i="13"/>
  <c r="FL11" i="13"/>
  <c r="FK10" i="13"/>
  <c r="FK12" i="13"/>
  <c r="FL12" i="13"/>
  <c r="FL10" i="13"/>
  <c r="FM11" i="13"/>
  <c r="FM10" i="13"/>
  <c r="FN11" i="13"/>
  <c r="FM12" i="13"/>
  <c r="FO11" i="13"/>
  <c r="FN12" i="13"/>
  <c r="FN10" i="13"/>
  <c r="FP11" i="13"/>
  <c r="FO12" i="13"/>
  <c r="FO10" i="13"/>
  <c r="FQ11" i="13"/>
  <c r="FP12" i="13"/>
  <c r="FP10" i="13"/>
  <c r="FQ12" i="13"/>
  <c r="FQ10" i="13"/>
  <c r="FR11" i="13"/>
  <c r="FR12" i="13"/>
  <c r="FS11" i="13"/>
  <c r="FR10" i="13"/>
  <c r="FS12" i="13"/>
  <c r="FT11" i="13"/>
  <c r="FS10" i="13"/>
  <c r="FU11" i="13"/>
  <c r="FT10" i="13"/>
  <c r="FT12" i="13"/>
  <c r="FV11" i="13"/>
  <c r="FU12" i="13"/>
  <c r="FU10" i="13"/>
  <c r="FV10" i="13"/>
  <c r="FW11" i="13"/>
  <c r="FV12" i="13"/>
  <c r="FW10" i="13"/>
  <c r="FX11" i="13"/>
  <c r="FW12" i="13"/>
  <c r="FY11" i="13"/>
  <c r="FX10" i="13"/>
  <c r="FX12" i="13"/>
  <c r="FZ11" i="13"/>
  <c r="FY12" i="13"/>
  <c r="FY10" i="13"/>
  <c r="FZ10" i="13"/>
  <c r="GA11" i="13"/>
  <c r="FZ12" i="13"/>
  <c r="GA12" i="13"/>
  <c r="GB11" i="13"/>
  <c r="GA10" i="13"/>
  <c r="GC11" i="13"/>
  <c r="GB10" i="13"/>
  <c r="GB12" i="13"/>
  <c r="GC12" i="13"/>
  <c r="GD11" i="13"/>
  <c r="GC10" i="13"/>
  <c r="GD10" i="13"/>
  <c r="GD12" i="13"/>
  <c r="GE11" i="13"/>
  <c r="GE12" i="13"/>
  <c r="GE10" i="13"/>
  <c r="GF11" i="13"/>
  <c r="GF10" i="13"/>
  <c r="GG11" i="13"/>
  <c r="GF12" i="13"/>
  <c r="GG10" i="13"/>
  <c r="GH11" i="13"/>
  <c r="GG12" i="13"/>
  <c r="GH10" i="13"/>
  <c r="GI11" i="13"/>
  <c r="GH12" i="13"/>
  <c r="GJ11" i="13"/>
  <c r="GI10" i="13"/>
  <c r="GI12" i="13"/>
  <c r="GJ10" i="13"/>
  <c r="GJ12" i="13"/>
  <c r="GK11" i="13"/>
  <c r="GK12" i="13"/>
  <c r="GL11" i="13"/>
  <c r="GK10" i="13"/>
  <c r="GM11" i="13"/>
  <c r="GL12" i="13"/>
  <c r="GL10" i="13"/>
  <c r="GM12" i="13"/>
  <c r="GN11" i="13"/>
  <c r="GM10" i="13"/>
  <c r="GN12" i="13"/>
  <c r="GO11" i="13"/>
  <c r="GN10" i="13"/>
  <c r="GO12" i="13"/>
  <c r="GO10" i="13"/>
  <c r="GP11" i="13"/>
  <c r="GQ11" i="13"/>
  <c r="GP10" i="13"/>
  <c r="GP12" i="13"/>
  <c r="GQ12" i="13"/>
  <c r="GQ10" i="13"/>
  <c r="GR11" i="13"/>
  <c r="GR10" i="13"/>
  <c r="GS11" i="13"/>
  <c r="GR12" i="13"/>
  <c r="GT11" i="13"/>
  <c r="GS12" i="13"/>
  <c r="GS10" i="13"/>
  <c r="GT10" i="13"/>
  <c r="GU11" i="13"/>
  <c r="GT12" i="13"/>
  <c r="GU12" i="13"/>
  <c r="GU10" i="13"/>
  <c r="GV11" i="13"/>
  <c r="GV10" i="13"/>
  <c r="GV12" i="13"/>
  <c r="GW11" i="13"/>
  <c r="GW12" i="13"/>
  <c r="GW10" i="13"/>
  <c r="GX11" i="13"/>
  <c r="GX10" i="13"/>
  <c r="GX12" i="13"/>
  <c r="GY11" i="13"/>
  <c r="GZ11" i="13"/>
  <c r="GY12" i="13"/>
  <c r="GY10" i="13"/>
  <c r="GZ10" i="13"/>
  <c r="GZ12" i="13"/>
  <c r="HA11" i="13"/>
  <c r="HA12" i="13"/>
  <c r="HA10" i="13"/>
  <c r="HB11" i="13"/>
  <c r="HB10" i="13"/>
  <c r="HB12" i="13"/>
  <c r="HC11" i="13"/>
  <c r="HC12" i="13"/>
  <c r="HD11" i="13"/>
  <c r="HC10" i="13"/>
  <c r="HD10" i="13"/>
  <c r="HE11" i="13"/>
  <c r="HD12" i="13"/>
  <c r="HE12" i="13"/>
  <c r="HE10" i="13"/>
  <c r="HF11" i="13"/>
  <c r="HG11" i="13"/>
  <c r="HF12" i="13"/>
  <c r="HF10" i="13"/>
  <c r="HH11" i="13"/>
  <c r="HG10" i="13"/>
  <c r="HG12" i="13"/>
  <c r="HI11" i="13"/>
  <c r="HH10" i="13"/>
  <c r="HH12" i="13"/>
  <c r="HI12" i="13"/>
  <c r="HJ11" i="13"/>
  <c r="HI10" i="13"/>
  <c r="HJ12" i="13"/>
  <c r="HK11" i="13"/>
  <c r="HJ10" i="13"/>
  <c r="HK12" i="13"/>
  <c r="HL11" i="13"/>
  <c r="HK10" i="13"/>
  <c r="HM11" i="13"/>
  <c r="HL10" i="13"/>
  <c r="HL12" i="13"/>
  <c r="HN11" i="13"/>
  <c r="HM10" i="13"/>
  <c r="HM12" i="13"/>
  <c r="HN10" i="13"/>
  <c r="HO11" i="13"/>
  <c r="HN12" i="13"/>
  <c r="HO10" i="13"/>
  <c r="HO12" i="13"/>
</calcChain>
</file>

<file path=xl/sharedStrings.xml><?xml version="1.0" encoding="utf-8"?>
<sst xmlns="http://schemas.openxmlformats.org/spreadsheetml/2006/main" count="458" uniqueCount="361">
  <si>
    <t>開始年月日</t>
    <rPh sb="0" eb="2">
      <t>カイシ</t>
    </rPh>
    <rPh sb="2" eb="5">
      <t>ネンガッピ</t>
    </rPh>
    <phoneticPr fontId="3"/>
  </si>
  <si>
    <t>プロジェクト名</t>
    <rPh sb="6" eb="7">
      <t>メイ</t>
    </rPh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</si>
  <si>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</si>
  <si>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</si>
  <si>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フェーズ</t>
    <phoneticPr fontId="3"/>
  </si>
  <si>
    <t>更新者</t>
    <rPh sb="0" eb="2">
      <t>コウシン</t>
    </rPh>
    <rPh sb="2" eb="3">
      <t>シャ</t>
    </rPh>
    <phoneticPr fontId="3"/>
  </si>
  <si>
    <t>更新日</t>
    <rPh sb="0" eb="3">
      <t>コウシンビ</t>
    </rPh>
    <phoneticPr fontId="3"/>
  </si>
  <si>
    <t>休日設定</t>
    <rPh sb="0" eb="2">
      <t>キュウジツ</t>
    </rPh>
    <rPh sb="2" eb="4">
      <t>セッテイ</t>
    </rPh>
    <phoneticPr fontId="3"/>
  </si>
  <si>
    <t>Month</t>
    <phoneticPr fontId="3"/>
  </si>
  <si>
    <t>項番</t>
    <rPh sb="0" eb="1">
      <t>コウ</t>
    </rPh>
    <rPh sb="1" eb="2">
      <t>バン</t>
    </rPh>
    <phoneticPr fontId="3"/>
  </si>
  <si>
    <t>大項目</t>
    <rPh sb="0" eb="3">
      <t>ダイコウモク</t>
    </rPh>
    <phoneticPr fontId="3"/>
  </si>
  <si>
    <t>対応者</t>
    <rPh sb="0" eb="2">
      <t>タイオウ</t>
    </rPh>
    <rPh sb="2" eb="3">
      <t>シャ</t>
    </rPh>
    <phoneticPr fontId="3"/>
  </si>
  <si>
    <t>成果物</t>
    <rPh sb="0" eb="2">
      <t>セイカ</t>
    </rPh>
    <rPh sb="2" eb="3">
      <t>ブツ</t>
    </rPh>
    <phoneticPr fontId="3"/>
  </si>
  <si>
    <t>作業予定</t>
    <rPh sb="0" eb="2">
      <t>サギョウ</t>
    </rPh>
    <rPh sb="2" eb="4">
      <t>ヨテイ</t>
    </rPh>
    <phoneticPr fontId="3"/>
  </si>
  <si>
    <t>作業実績</t>
    <rPh sb="0" eb="2">
      <t>サギョウ</t>
    </rPh>
    <rPh sb="2" eb="4">
      <t>ジッセキ</t>
    </rPh>
    <phoneticPr fontId="3"/>
  </si>
  <si>
    <t>日数</t>
    <rPh sb="0" eb="2">
      <t>ニッスウ</t>
    </rPh>
    <phoneticPr fontId="3"/>
  </si>
  <si>
    <t>作業進捗</t>
    <rPh sb="0" eb="2">
      <t>サギョウ</t>
    </rPh>
    <rPh sb="2" eb="4">
      <t>シンチョク</t>
    </rPh>
    <phoneticPr fontId="3"/>
  </si>
  <si>
    <t>開始日</t>
    <rPh sb="0" eb="3">
      <t>カイシビ</t>
    </rPh>
    <phoneticPr fontId="3"/>
  </si>
  <si>
    <t>終了日</t>
    <rPh sb="0" eb="3">
      <t>シュウリョウビ</t>
    </rPh>
    <phoneticPr fontId="3"/>
  </si>
  <si>
    <t>工数</t>
    <rPh sb="0" eb="2">
      <t>コウスウ</t>
    </rPh>
    <phoneticPr fontId="3"/>
  </si>
  <si>
    <t>(%)</t>
    <phoneticPr fontId="3"/>
  </si>
  <si>
    <t>版</t>
    <rPh sb="0" eb="1">
      <t>ハン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</si>
  <si>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</si>
  <si>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</si>
  <si>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更新内容</t>
    <rPh sb="0" eb="2">
      <t>コウシン</t>
    </rPh>
    <rPh sb="2" eb="4">
      <t>ナイヨウ</t>
    </rPh>
    <phoneticPr fontId="2"/>
  </si>
  <si>
    <t>□　画面説明</t>
    <phoneticPr fontId="2"/>
  </si>
  <si>
    <t>項番</t>
    <rPh sb="0" eb="2">
      <t>コウバン</t>
    </rPh>
    <phoneticPr fontId="49"/>
  </si>
  <si>
    <t>大項目</t>
    <rPh sb="0" eb="3">
      <t>ダイコウモク</t>
    </rPh>
    <phoneticPr fontId="49"/>
  </si>
  <si>
    <t>中項目</t>
    <rPh sb="0" eb="1">
      <t>チュウ</t>
    </rPh>
    <rPh sb="1" eb="3">
      <t>コウモク</t>
    </rPh>
    <phoneticPr fontId="49"/>
  </si>
  <si>
    <t>作業詳細</t>
    <rPh sb="0" eb="2">
      <t>サギョウ</t>
    </rPh>
    <rPh sb="2" eb="4">
      <t>ショウサイ</t>
    </rPh>
    <phoneticPr fontId="49"/>
  </si>
  <si>
    <t>備考</t>
    <rPh sb="0" eb="2">
      <t>ビコウ</t>
    </rPh>
    <phoneticPr fontId="49"/>
  </si>
  <si>
    <t>Ｂ-②　作業予定の開始日・終了日(YYYY/MM/DD)を入力してください。</t>
    <rPh sb="4" eb="6">
      <t>サギョウ</t>
    </rPh>
    <rPh sb="6" eb="8">
      <t>ヨテイ</t>
    </rPh>
    <rPh sb="9" eb="12">
      <t>カイシビ</t>
    </rPh>
    <rPh sb="13" eb="16">
      <t>シュウリョウビ</t>
    </rPh>
    <rPh sb="29" eb="31">
      <t>ニュウリョク</t>
    </rPh>
    <phoneticPr fontId="49"/>
  </si>
  <si>
    <t>作業予定：開始日</t>
    <rPh sb="0" eb="2">
      <t>サギョウ</t>
    </rPh>
    <rPh sb="2" eb="4">
      <t>ヨテイ</t>
    </rPh>
    <rPh sb="5" eb="7">
      <t>カイシ</t>
    </rPh>
    <rPh sb="7" eb="8">
      <t>ビ</t>
    </rPh>
    <phoneticPr fontId="49"/>
  </si>
  <si>
    <t>作業予定：終了日</t>
    <rPh sb="0" eb="2">
      <t>サギョウ</t>
    </rPh>
    <rPh sb="2" eb="4">
      <t>ヨテイ</t>
    </rPh>
    <rPh sb="5" eb="8">
      <t>シュウリョウビ</t>
    </rPh>
    <phoneticPr fontId="49"/>
  </si>
  <si>
    <t>作業予定：工数</t>
    <rPh sb="0" eb="2">
      <t>サギョウ</t>
    </rPh>
    <rPh sb="2" eb="4">
      <t>ヨテイ</t>
    </rPh>
    <rPh sb="5" eb="7">
      <t>コウスウ</t>
    </rPh>
    <phoneticPr fontId="49"/>
  </si>
  <si>
    <t>項目名</t>
    <rPh sb="0" eb="2">
      <t>コウモク</t>
    </rPh>
    <rPh sb="2" eb="3">
      <t>メイ</t>
    </rPh>
    <phoneticPr fontId="49"/>
  </si>
  <si>
    <t>Ｃ-①　実際の開始日・終了日(YYYY/MM/DD)を入力してください。</t>
    <rPh sb="4" eb="6">
      <t>ジッサイ</t>
    </rPh>
    <rPh sb="7" eb="10">
      <t>カイシビ</t>
    </rPh>
    <rPh sb="11" eb="14">
      <t>シュウリョウビ</t>
    </rPh>
    <rPh sb="27" eb="29">
      <t>ニュウリョク</t>
    </rPh>
    <phoneticPr fontId="49"/>
  </si>
  <si>
    <t>作業実績：開始日</t>
    <rPh sb="0" eb="2">
      <t>サギョウ</t>
    </rPh>
    <rPh sb="2" eb="4">
      <t>ジッセキ</t>
    </rPh>
    <rPh sb="5" eb="7">
      <t>カイシ</t>
    </rPh>
    <rPh sb="7" eb="8">
      <t>ビ</t>
    </rPh>
    <phoneticPr fontId="49"/>
  </si>
  <si>
    <t>作業実績：終了日</t>
    <rPh sb="5" eb="8">
      <t>シュウリョウビ</t>
    </rPh>
    <phoneticPr fontId="49"/>
  </si>
  <si>
    <t>作業実績：工数</t>
    <rPh sb="5" eb="7">
      <t>コウスウ</t>
    </rPh>
    <phoneticPr fontId="49"/>
  </si>
  <si>
    <t>Ｃ-②　進捗率を入力してください。</t>
    <rPh sb="4" eb="6">
      <t>シンチョク</t>
    </rPh>
    <rPh sb="6" eb="7">
      <t>リツ</t>
    </rPh>
    <rPh sb="8" eb="10">
      <t>ニュウリョク</t>
    </rPh>
    <phoneticPr fontId="49"/>
  </si>
  <si>
    <t>Ａ－①　本テンプレートの利用前に、ヘッダ箇所に、プロジェクトの開始日(YYYY/MM/DD)を入力してください。</t>
    <rPh sb="20" eb="22">
      <t>カショ</t>
    </rPh>
    <phoneticPr fontId="49"/>
  </si>
  <si>
    <t>Ｃ-④　スケジュール個所を見て、進捗管理をしてください。</t>
    <phoneticPr fontId="49"/>
  </si>
  <si>
    <t>当日を赤色で反転表示します</t>
    <phoneticPr fontId="49"/>
  </si>
  <si>
    <t>作業が基準より遅れているものは赤線が左側に描画されます</t>
    <phoneticPr fontId="49"/>
  </si>
  <si>
    <t>・</t>
    <phoneticPr fontId="49"/>
  </si>
  <si>
    <t>Ｃ-③　「更新」ボタンをクリックすると進捗と稲妻線が描画されます。</t>
    <phoneticPr fontId="49"/>
  </si>
  <si>
    <t>作業が基準より進んでいるものは赤線が右側に描画されます</t>
    <rPh sb="7" eb="8">
      <t>スス</t>
    </rPh>
    <phoneticPr fontId="49"/>
  </si>
  <si>
    <t>ＷＢＳの番号を入れてください。</t>
    <rPh sb="4" eb="6">
      <t>バンゴウ</t>
    </rPh>
    <rPh sb="7" eb="8">
      <t>イ</t>
    </rPh>
    <phoneticPr fontId="49"/>
  </si>
  <si>
    <t>※　別シートの「チェックリスト」を活用し、ＷＢＳの抜け漏れを確認しましょう。</t>
    <rPh sb="2" eb="3">
      <t>ベツ</t>
    </rPh>
    <rPh sb="17" eb="19">
      <t>カツヨウ</t>
    </rPh>
    <rPh sb="25" eb="26">
      <t>ヌ</t>
    </rPh>
    <rPh sb="27" eb="28">
      <t>モ</t>
    </rPh>
    <rPh sb="30" eb="32">
      <t>カクニン</t>
    </rPh>
    <phoneticPr fontId="49"/>
  </si>
  <si>
    <t>□　動作確認の環境</t>
    <rPh sb="2" eb="4">
      <t>ドウサ</t>
    </rPh>
    <rPh sb="4" eb="6">
      <t>カクニン</t>
    </rPh>
    <rPh sb="7" eb="9">
      <t>カンキョウ</t>
    </rPh>
    <phoneticPr fontId="2"/>
  </si>
  <si>
    <t>□　進捗状況の見方</t>
    <phoneticPr fontId="2"/>
  </si>
  <si>
    <t>□　使用上の注意</t>
    <rPh sb="2" eb="5">
      <t>シヨウジョウ</t>
    </rPh>
    <rPh sb="6" eb="8">
      <t>チュウイ</t>
    </rPh>
    <phoneticPr fontId="2"/>
  </si>
  <si>
    <t>■　WBSテンプレートの使い方</t>
    <rPh sb="12" eb="13">
      <t>ツカ</t>
    </rPh>
    <rPh sb="14" eb="15">
      <t>カタ</t>
    </rPh>
    <phoneticPr fontId="2"/>
  </si>
  <si>
    <t>Ａ－②　土日以外に、祝日や社休日の予定があれば、休日設定の該当日付欄をチェックしてください。</t>
    <rPh sb="4" eb="6">
      <t>ドニチ</t>
    </rPh>
    <rPh sb="6" eb="8">
      <t>イガイ</t>
    </rPh>
    <rPh sb="10" eb="12">
      <t>シュクジツ</t>
    </rPh>
    <rPh sb="13" eb="16">
      <t>シャキュウビ</t>
    </rPh>
    <rPh sb="17" eb="19">
      <t>ヨテイ</t>
    </rPh>
    <rPh sb="24" eb="26">
      <t>キュウジツ</t>
    </rPh>
    <rPh sb="26" eb="28">
      <t>セッテイ</t>
    </rPh>
    <rPh sb="29" eb="31">
      <t>ガイトウ</t>
    </rPh>
    <rPh sb="31" eb="33">
      <t>ヒヅケ</t>
    </rPh>
    <rPh sb="33" eb="34">
      <t>ラン</t>
    </rPh>
    <phoneticPr fontId="49"/>
  </si>
  <si>
    <t>Ｂ-③　マイルストーンを入力してください。</t>
    <rPh sb="12" eb="14">
      <t>ニュウリョク</t>
    </rPh>
    <phoneticPr fontId="49"/>
  </si>
  <si>
    <t>□　利用手順</t>
    <rPh sb="2" eb="4">
      <t>リヨウ</t>
    </rPh>
    <rPh sb="4" eb="6">
      <t>テジュン</t>
    </rPh>
    <phoneticPr fontId="2"/>
  </si>
  <si>
    <t>◇　B：　プロジェクト計画時</t>
    <rPh sb="11" eb="13">
      <t>ケイカク</t>
    </rPh>
    <rPh sb="13" eb="14">
      <t>ジ</t>
    </rPh>
    <phoneticPr fontId="49"/>
  </si>
  <si>
    <t>◇　Ｃ：　プロジェクト進行時</t>
    <rPh sb="11" eb="13">
      <t>シンコウ</t>
    </rPh>
    <rPh sb="13" eb="14">
      <t>ジ</t>
    </rPh>
    <phoneticPr fontId="49"/>
  </si>
  <si>
    <t>大日程となる作業タスクを入れてください。</t>
    <rPh sb="0" eb="1">
      <t>ダイ</t>
    </rPh>
    <rPh sb="1" eb="3">
      <t>ニッテイ</t>
    </rPh>
    <rPh sb="6" eb="8">
      <t>サギョウ</t>
    </rPh>
    <rPh sb="12" eb="13">
      <t>イ</t>
    </rPh>
    <phoneticPr fontId="49"/>
  </si>
  <si>
    <t>中日程となる作業タスクを入れてください。</t>
    <rPh sb="0" eb="1">
      <t>ナカ</t>
    </rPh>
    <rPh sb="1" eb="3">
      <t>ニッテイ</t>
    </rPh>
    <rPh sb="6" eb="8">
      <t>サギョウ</t>
    </rPh>
    <rPh sb="12" eb="13">
      <t>イ</t>
    </rPh>
    <phoneticPr fontId="49"/>
  </si>
  <si>
    <t>作業詳細を入れてください。</t>
    <rPh sb="0" eb="2">
      <t>サギョウ</t>
    </rPh>
    <rPh sb="2" eb="4">
      <t>ショウサイ</t>
    </rPh>
    <rPh sb="5" eb="6">
      <t>イ</t>
    </rPh>
    <phoneticPr fontId="49"/>
  </si>
  <si>
    <t>■　WBSテンプレートの概要</t>
    <rPh sb="12" eb="14">
      <t>ガイヨウ</t>
    </rPh>
    <phoneticPr fontId="2"/>
  </si>
  <si>
    <t>◇　Ａ：　本テンプレートの利用開始時</t>
    <rPh sb="5" eb="6">
      <t>ホン</t>
    </rPh>
    <rPh sb="13" eb="15">
      <t>リヨウ</t>
    </rPh>
    <rPh sb="15" eb="17">
      <t>カイシ</t>
    </rPh>
    <rPh sb="17" eb="18">
      <t>ジ</t>
    </rPh>
    <phoneticPr fontId="49"/>
  </si>
  <si>
    <t>WBSテンプレートの概要＆使い方</t>
    <rPh sb="10" eb="12">
      <t>ガイヨウ</t>
    </rPh>
    <rPh sb="13" eb="14">
      <t>ツカ</t>
    </rPh>
    <rPh sb="15" eb="16">
      <t>カタ</t>
    </rPh>
    <phoneticPr fontId="2"/>
  </si>
  <si>
    <t>WBSテンプレート　変更履歴</t>
    <rPh sb="10" eb="12">
      <t>ヘンコウ</t>
    </rPh>
    <rPh sb="12" eb="14">
      <t>リレキ</t>
    </rPh>
    <phoneticPr fontId="2"/>
  </si>
  <si>
    <t>◇　右側スケジュールの表示を延長する場合は、スケジュール列をコピーし、後ろに貼り付けしてください。</t>
    <rPh sb="2" eb="4">
      <t>ミギガワ</t>
    </rPh>
    <rPh sb="11" eb="13">
      <t>ヒョウジ</t>
    </rPh>
    <rPh sb="38" eb="39">
      <t>ハ</t>
    </rPh>
    <rPh sb="40" eb="41">
      <t>ツ</t>
    </rPh>
    <phoneticPr fontId="49"/>
  </si>
  <si>
    <t>Excel2010で、動作確認を実施しています。</t>
    <rPh sb="11" eb="13">
      <t>ドウサ</t>
    </rPh>
    <rPh sb="13" eb="15">
      <t>カクニン</t>
    </rPh>
    <rPh sb="16" eb="18">
      <t>ジッシ</t>
    </rPh>
    <phoneticPr fontId="49"/>
  </si>
  <si>
    <t>タスクが開始する予定日を入れてください。</t>
    <rPh sb="4" eb="6">
      <t>カイシ</t>
    </rPh>
    <rPh sb="8" eb="10">
      <t>ヨテイ</t>
    </rPh>
    <rPh sb="10" eb="11">
      <t>ビ</t>
    </rPh>
    <rPh sb="12" eb="13">
      <t>イ</t>
    </rPh>
    <phoneticPr fontId="49"/>
  </si>
  <si>
    <t>タスクが完了する予定日を入れてください。</t>
    <rPh sb="4" eb="6">
      <t>カンリョウ</t>
    </rPh>
    <rPh sb="8" eb="10">
      <t>ヨテイ</t>
    </rPh>
    <rPh sb="10" eb="11">
      <t>ビ</t>
    </rPh>
    <rPh sb="12" eb="13">
      <t>イ</t>
    </rPh>
    <phoneticPr fontId="49"/>
  </si>
  <si>
    <t>タスクの予定工数を入れてください。</t>
    <rPh sb="4" eb="6">
      <t>ヨテイ</t>
    </rPh>
    <rPh sb="6" eb="8">
      <t>コウスウ</t>
    </rPh>
    <rPh sb="9" eb="10">
      <t>イ</t>
    </rPh>
    <phoneticPr fontId="49"/>
  </si>
  <si>
    <t>タスクが開始した実績日を入れてください。</t>
    <rPh sb="4" eb="6">
      <t>カイシ</t>
    </rPh>
    <rPh sb="8" eb="10">
      <t>ジッセキ</t>
    </rPh>
    <rPh sb="10" eb="11">
      <t>ビ</t>
    </rPh>
    <phoneticPr fontId="49"/>
  </si>
  <si>
    <t>タスクが完了した実績日を入れてください。</t>
    <rPh sb="4" eb="6">
      <t>カンリョウ</t>
    </rPh>
    <rPh sb="8" eb="10">
      <t>ジッセキ</t>
    </rPh>
    <rPh sb="10" eb="11">
      <t>ビ</t>
    </rPh>
    <phoneticPr fontId="49"/>
  </si>
  <si>
    <t>タスクの実績工数を入れてください。</t>
    <rPh sb="4" eb="6">
      <t>ジッセキ</t>
    </rPh>
    <rPh sb="6" eb="8">
      <t>コウスウ</t>
    </rPh>
    <phoneticPr fontId="49"/>
  </si>
  <si>
    <t>項番</t>
    <rPh sb="0" eb="1">
      <t>コウ</t>
    </rPh>
    <rPh sb="1" eb="2">
      <t>バン</t>
    </rPh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</si>
  <si>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</si>
  <si>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</si>
  <si>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作業詳細</t>
    <rPh sb="0" eb="2">
      <t>サギョウ</t>
    </rPh>
    <rPh sb="2" eb="4">
      <t>ショウサイ</t>
    </rPh>
    <phoneticPr fontId="2"/>
  </si>
  <si>
    <t>対応者</t>
    <rPh sb="0" eb="2">
      <t>タイオウ</t>
    </rPh>
    <rPh sb="2" eb="3">
      <t>シャ</t>
    </rPh>
    <phoneticPr fontId="2"/>
  </si>
  <si>
    <t>成果物</t>
    <rPh sb="0" eb="2">
      <t>セイカ</t>
    </rPh>
    <rPh sb="2" eb="3">
      <t>ブツ</t>
    </rPh>
    <phoneticPr fontId="2"/>
  </si>
  <si>
    <t>プロジェクト管理</t>
    <rPh sb="6" eb="8">
      <t>カンリ</t>
    </rPh>
    <phoneticPr fontId="2"/>
  </si>
  <si>
    <t>プロジェクト計画</t>
    <rPh sb="6" eb="8">
      <t>ケイカク</t>
    </rPh>
    <phoneticPr fontId="2"/>
  </si>
  <si>
    <t>プロジェクト計画書作成</t>
    <rPh sb="6" eb="9">
      <t>ケイカクショ</t>
    </rPh>
    <rPh sb="9" eb="11">
      <t>サクセイ</t>
    </rPh>
    <phoneticPr fontId="2"/>
  </si>
  <si>
    <t>･プロジェクト計画書</t>
    <phoneticPr fontId="2"/>
  </si>
  <si>
    <t>　　プロジェクト計画</t>
    <rPh sb="8" eb="10">
      <t>ケイカク</t>
    </rPh>
    <phoneticPr fontId="2"/>
  </si>
  <si>
    <t>概要、体制と役割、マスタスケジュール、他</t>
    <rPh sb="0" eb="2">
      <t>ガイヨウ</t>
    </rPh>
    <rPh sb="3" eb="5">
      <t>タイセイ</t>
    </rPh>
    <rPh sb="6" eb="8">
      <t>ヤクワリ</t>
    </rPh>
    <rPh sb="19" eb="20">
      <t>ホカ</t>
    </rPh>
    <phoneticPr fontId="2"/>
  </si>
  <si>
    <t>　　プロジェクトマネジメント計画</t>
    <rPh sb="14" eb="16">
      <t>ケイカク</t>
    </rPh>
    <phoneticPr fontId="2"/>
  </si>
  <si>
    <t>変更管理、品質管理、進捗管理、課題管理、リスク管理、他</t>
    <rPh sb="0" eb="2">
      <t>ヘンコウ</t>
    </rPh>
    <rPh sb="2" eb="4">
      <t>カンリ</t>
    </rPh>
    <rPh sb="5" eb="7">
      <t>ヒンシツ</t>
    </rPh>
    <rPh sb="7" eb="9">
      <t>カンリ</t>
    </rPh>
    <rPh sb="10" eb="12">
      <t>シンチョク</t>
    </rPh>
    <rPh sb="12" eb="14">
      <t>カンリ</t>
    </rPh>
    <rPh sb="15" eb="17">
      <t>カダイ</t>
    </rPh>
    <rPh sb="17" eb="19">
      <t>カンリ</t>
    </rPh>
    <rPh sb="23" eb="25">
      <t>カンリ</t>
    </rPh>
    <rPh sb="26" eb="27">
      <t>ホカ</t>
    </rPh>
    <phoneticPr fontId="2"/>
  </si>
  <si>
    <t>　　内部レビュー</t>
    <rPh sb="2" eb="4">
      <t>ナイブ</t>
    </rPh>
    <phoneticPr fontId="2"/>
  </si>
  <si>
    <t>　　修正/文書統合</t>
    <rPh sb="2" eb="4">
      <t>シュウセイ</t>
    </rPh>
    <rPh sb="5" eb="7">
      <t>ブンショ</t>
    </rPh>
    <rPh sb="7" eb="9">
      <t>トウゴウ</t>
    </rPh>
    <phoneticPr fontId="2"/>
  </si>
  <si>
    <t>　　承認</t>
    <rPh sb="2" eb="4">
      <t>ショウニン</t>
    </rPh>
    <phoneticPr fontId="2"/>
  </si>
  <si>
    <t>WBS（スケジュール）作成</t>
    <rPh sb="11" eb="13">
      <t>サクセイ</t>
    </rPh>
    <phoneticPr fontId="2"/>
  </si>
  <si>
    <t>･WBS（スケジュール）</t>
    <phoneticPr fontId="2"/>
  </si>
  <si>
    <t>リスク管理表作成</t>
    <rPh sb="3" eb="5">
      <t>カンリ</t>
    </rPh>
    <rPh sb="5" eb="6">
      <t>ヒョウ</t>
    </rPh>
    <rPh sb="6" eb="8">
      <t>サクセイ</t>
    </rPh>
    <phoneticPr fontId="2"/>
  </si>
  <si>
    <t>･リスク管理表</t>
    <rPh sb="4" eb="6">
      <t>カンリ</t>
    </rPh>
    <rPh sb="6" eb="7">
      <t>ヒョウ</t>
    </rPh>
    <phoneticPr fontId="2"/>
  </si>
  <si>
    <t>キックオフミーティング</t>
    <phoneticPr fontId="2"/>
  </si>
  <si>
    <t>プロジェクトメンバーへの周知</t>
    <phoneticPr fontId="2"/>
  </si>
  <si>
    <t>･議事録</t>
    <rPh sb="1" eb="4">
      <t>ギジロク</t>
    </rPh>
    <phoneticPr fontId="2"/>
  </si>
  <si>
    <t>調達（協力会社）</t>
    <rPh sb="0" eb="2">
      <t>チョウタツ</t>
    </rPh>
    <rPh sb="3" eb="5">
      <t>キョウリョク</t>
    </rPh>
    <rPh sb="5" eb="7">
      <t>カイシャ</t>
    </rPh>
    <phoneticPr fontId="2"/>
  </si>
  <si>
    <t>協力会社選定</t>
    <rPh sb="0" eb="2">
      <t>キョウリョク</t>
    </rPh>
    <rPh sb="2" eb="4">
      <t>カイシャ</t>
    </rPh>
    <rPh sb="4" eb="6">
      <t>センテイ</t>
    </rPh>
    <phoneticPr fontId="2"/>
  </si>
  <si>
    <t>契約締結</t>
    <rPh sb="0" eb="2">
      <t>ケイヤク</t>
    </rPh>
    <rPh sb="2" eb="4">
      <t>テイケツ</t>
    </rPh>
    <phoneticPr fontId="2"/>
  </si>
  <si>
    <t>･契約書（対協力会社）</t>
    <rPh sb="1" eb="4">
      <t>ケイヤクショ</t>
    </rPh>
    <rPh sb="5" eb="6">
      <t>タイ</t>
    </rPh>
    <rPh sb="6" eb="8">
      <t>キョウリョク</t>
    </rPh>
    <rPh sb="8" eb="10">
      <t>カイシャ</t>
    </rPh>
    <phoneticPr fontId="2"/>
  </si>
  <si>
    <t>契約（得意先）</t>
    <rPh sb="0" eb="2">
      <t>ケイヤク</t>
    </rPh>
    <rPh sb="3" eb="6">
      <t>トクイサキ</t>
    </rPh>
    <phoneticPr fontId="2"/>
  </si>
  <si>
    <t>見積もり書作成</t>
    <rPh sb="0" eb="2">
      <t>ミツ</t>
    </rPh>
    <rPh sb="4" eb="5">
      <t>ショ</t>
    </rPh>
    <rPh sb="5" eb="7">
      <t>サクセイ</t>
    </rPh>
    <phoneticPr fontId="2"/>
  </si>
  <si>
    <t>･見積書</t>
    <rPh sb="1" eb="4">
      <t>ミツモリショ</t>
    </rPh>
    <phoneticPr fontId="2"/>
  </si>
  <si>
    <t>･契約書（対得意先）</t>
    <rPh sb="1" eb="4">
      <t>ケイヤクショ</t>
    </rPh>
    <rPh sb="5" eb="6">
      <t>タイ</t>
    </rPh>
    <rPh sb="6" eb="9">
      <t>トクイサキ</t>
    </rPh>
    <phoneticPr fontId="2"/>
  </si>
  <si>
    <t>ツール等利用準備</t>
    <rPh sb="3" eb="4">
      <t>ナド</t>
    </rPh>
    <rPh sb="4" eb="6">
      <t>リヨウ</t>
    </rPh>
    <rPh sb="6" eb="8">
      <t>ジュンビ</t>
    </rPh>
    <phoneticPr fontId="2"/>
  </si>
  <si>
    <t>ML作成</t>
    <rPh sb="2" eb="4">
      <t>サクセイ</t>
    </rPh>
    <phoneticPr fontId="2"/>
  </si>
  <si>
    <t>本社へ申請</t>
    <rPh sb="0" eb="2">
      <t>ホンシャ</t>
    </rPh>
    <rPh sb="3" eb="5">
      <t>シンセイ</t>
    </rPh>
    <phoneticPr fontId="2"/>
  </si>
  <si>
    <t>PROJECTフォルダ準備</t>
    <rPh sb="11" eb="13">
      <t>ジュンビ</t>
    </rPh>
    <phoneticPr fontId="2"/>
  </si>
  <si>
    <t>業務管理Tへ申請</t>
    <rPh sb="0" eb="2">
      <t>ギョウム</t>
    </rPh>
    <rPh sb="2" eb="4">
      <t>カンリ</t>
    </rPh>
    <rPh sb="6" eb="8">
      <t>シンセイ</t>
    </rPh>
    <phoneticPr fontId="2"/>
  </si>
  <si>
    <t>Redmine利用申請</t>
    <rPh sb="7" eb="9">
      <t>リヨウ</t>
    </rPh>
    <rPh sb="9" eb="11">
      <t>シンセイ</t>
    </rPh>
    <phoneticPr fontId="2"/>
  </si>
  <si>
    <t>･Redmine利用申請書</t>
    <rPh sb="8" eb="10">
      <t>リヨウ</t>
    </rPh>
    <rPh sb="10" eb="13">
      <t>シンセイショ</t>
    </rPh>
    <phoneticPr fontId="2"/>
  </si>
  <si>
    <t>Subversion利用申請</t>
    <rPh sb="10" eb="12">
      <t>リヨウ</t>
    </rPh>
    <rPh sb="12" eb="14">
      <t>シンセイ</t>
    </rPh>
    <phoneticPr fontId="2"/>
  </si>
  <si>
    <t>実行監視</t>
    <rPh sb="0" eb="2">
      <t>ジッコウ</t>
    </rPh>
    <rPh sb="2" eb="4">
      <t>カンシ</t>
    </rPh>
    <phoneticPr fontId="2"/>
  </si>
  <si>
    <t>定例会</t>
    <rPh sb="0" eb="3">
      <t>テイレイカイ</t>
    </rPh>
    <phoneticPr fontId="2"/>
  </si>
  <si>
    <t>毎週●曜日開催</t>
    <rPh sb="0" eb="2">
      <t>マイシュウ</t>
    </rPh>
    <rPh sb="3" eb="5">
      <t>ヨウビ</t>
    </rPh>
    <rPh sb="5" eb="7">
      <t>カイサイ</t>
    </rPh>
    <phoneticPr fontId="2"/>
  </si>
  <si>
    <t>進捗確認</t>
    <rPh sb="0" eb="2">
      <t>シンチョク</t>
    </rPh>
    <rPh sb="2" eb="4">
      <t>カクニン</t>
    </rPh>
    <phoneticPr fontId="2"/>
  </si>
  <si>
    <t>定例にて確認</t>
    <rPh sb="0" eb="2">
      <t>テイレイ</t>
    </rPh>
    <rPh sb="4" eb="6">
      <t>カクニン</t>
    </rPh>
    <phoneticPr fontId="2"/>
  </si>
  <si>
    <t>･WBS（予実管理）</t>
    <rPh sb="5" eb="6">
      <t>ヨ</t>
    </rPh>
    <rPh sb="6" eb="7">
      <t>ジツ</t>
    </rPh>
    <rPh sb="7" eb="9">
      <t>カンリ</t>
    </rPh>
    <phoneticPr fontId="2"/>
  </si>
  <si>
    <t>課題確認</t>
    <rPh sb="0" eb="2">
      <t>カダイ</t>
    </rPh>
    <rPh sb="2" eb="4">
      <t>カクニン</t>
    </rPh>
    <phoneticPr fontId="2"/>
  </si>
  <si>
    <t>･課題管理表</t>
    <rPh sb="1" eb="3">
      <t>カダイ</t>
    </rPh>
    <rPh sb="3" eb="5">
      <t>カンリ</t>
    </rPh>
    <rPh sb="5" eb="6">
      <t>ヒョウ</t>
    </rPh>
    <phoneticPr fontId="2"/>
  </si>
  <si>
    <t>リスク管理</t>
    <rPh sb="3" eb="5">
      <t>カンリ</t>
    </rPh>
    <phoneticPr fontId="2"/>
  </si>
  <si>
    <t>随時</t>
    <rPh sb="0" eb="2">
      <t>ズイジ</t>
    </rPh>
    <phoneticPr fontId="2"/>
  </si>
  <si>
    <t>コスト管理</t>
    <rPh sb="3" eb="5">
      <t>カンリ</t>
    </rPh>
    <phoneticPr fontId="2"/>
  </si>
  <si>
    <t>生産管理システムで確認</t>
    <rPh sb="0" eb="2">
      <t>セイサン</t>
    </rPh>
    <rPh sb="2" eb="4">
      <t>カンリ</t>
    </rPh>
    <rPh sb="9" eb="11">
      <t>カクニン</t>
    </rPh>
    <phoneticPr fontId="2"/>
  </si>
  <si>
    <t>終結</t>
    <rPh sb="0" eb="2">
      <t>シュウケツ</t>
    </rPh>
    <phoneticPr fontId="2"/>
  </si>
  <si>
    <t>プロジェクト反省会</t>
    <rPh sb="6" eb="8">
      <t>ハンセイ</t>
    </rPh>
    <rPh sb="8" eb="9">
      <t>カイ</t>
    </rPh>
    <phoneticPr fontId="2"/>
  </si>
  <si>
    <t>協力会社の評価</t>
    <rPh sb="0" eb="2">
      <t>キョウリョク</t>
    </rPh>
    <rPh sb="2" eb="4">
      <t>カイシャ</t>
    </rPh>
    <rPh sb="5" eb="7">
      <t>ヒョウカ</t>
    </rPh>
    <phoneticPr fontId="2"/>
  </si>
  <si>
    <t>システム開発</t>
    <rPh sb="4" eb="6">
      <t>カイハツ</t>
    </rPh>
    <phoneticPr fontId="2"/>
  </si>
  <si>
    <t>要件定義</t>
    <rPh sb="0" eb="2">
      <t>ヨウケン</t>
    </rPh>
    <rPh sb="2" eb="4">
      <t>テイギ</t>
    </rPh>
    <phoneticPr fontId="2"/>
  </si>
  <si>
    <t>要件ヒアリング</t>
    <rPh sb="0" eb="2">
      <t>ヨウケン</t>
    </rPh>
    <phoneticPr fontId="2"/>
  </si>
  <si>
    <t>･要件ヒアリングシート</t>
    <rPh sb="1" eb="3">
      <t>ヨウケン</t>
    </rPh>
    <phoneticPr fontId="2"/>
  </si>
  <si>
    <t>要件定義書作成</t>
    <rPh sb="0" eb="2">
      <t>ヨウケン</t>
    </rPh>
    <rPh sb="2" eb="5">
      <t>テイギショ</t>
    </rPh>
    <rPh sb="5" eb="7">
      <t>サクセイ</t>
    </rPh>
    <phoneticPr fontId="2"/>
  </si>
  <si>
    <t>　　業務要件</t>
    <rPh sb="2" eb="4">
      <t>ギョウム</t>
    </rPh>
    <rPh sb="4" eb="6">
      <t>ヨウケン</t>
    </rPh>
    <phoneticPr fontId="2"/>
  </si>
  <si>
    <t>現行業務概要の調査、業務フローの作成、業務要件の整理、他</t>
    <rPh sb="10" eb="12">
      <t>ギョウム</t>
    </rPh>
    <rPh sb="16" eb="18">
      <t>サクセイ</t>
    </rPh>
    <rPh sb="19" eb="21">
      <t>ギョウム</t>
    </rPh>
    <rPh sb="21" eb="23">
      <t>ヨウケン</t>
    </rPh>
    <rPh sb="24" eb="26">
      <t>セイリ</t>
    </rPh>
    <rPh sb="27" eb="28">
      <t>ホカ</t>
    </rPh>
    <phoneticPr fontId="2"/>
  </si>
  <si>
    <r>
      <t>･</t>
    </r>
    <r>
      <rPr>
        <sz val="11"/>
        <rFont val="ＭＳ Ｐゴシック"/>
        <family val="3"/>
        <charset val="128"/>
      </rPr>
      <t>業務フロー図</t>
    </r>
    <rPh sb="1" eb="3">
      <t>ギョウム</t>
    </rPh>
    <rPh sb="6" eb="7">
      <t>ズ</t>
    </rPh>
    <phoneticPr fontId="2"/>
  </si>
  <si>
    <t>　　システム要件-開発範囲</t>
    <rPh sb="6" eb="8">
      <t>ヨウケン</t>
    </rPh>
    <rPh sb="9" eb="11">
      <t>カイハツ</t>
    </rPh>
    <rPh sb="11" eb="13">
      <t>ハンイ</t>
    </rPh>
    <phoneticPr fontId="2"/>
  </si>
  <si>
    <t>システム化の目的・範囲、システム構成、システムフロー</t>
    <rPh sb="4" eb="5">
      <t>カ</t>
    </rPh>
    <rPh sb="6" eb="8">
      <t>モクテキ</t>
    </rPh>
    <rPh sb="9" eb="11">
      <t>ハンイ</t>
    </rPh>
    <rPh sb="16" eb="18">
      <t>コウセイ</t>
    </rPh>
    <phoneticPr fontId="2"/>
  </si>
  <si>
    <t>　　システム要件-機能A</t>
    <rPh sb="6" eb="8">
      <t>ヨウケン</t>
    </rPh>
    <rPh sb="9" eb="11">
      <t>キノウ</t>
    </rPh>
    <phoneticPr fontId="2"/>
  </si>
  <si>
    <t>機能Aの要求内容定義</t>
    <rPh sb="0" eb="2">
      <t>キノウ</t>
    </rPh>
    <rPh sb="4" eb="6">
      <t>ヨウキュウ</t>
    </rPh>
    <rPh sb="6" eb="8">
      <t>ナイヨウ</t>
    </rPh>
    <rPh sb="8" eb="10">
      <t>テイギ</t>
    </rPh>
    <phoneticPr fontId="2"/>
  </si>
  <si>
    <t>　　システム要件-機能B</t>
    <rPh sb="6" eb="8">
      <t>ヨウケン</t>
    </rPh>
    <rPh sb="9" eb="11">
      <t>キノウ</t>
    </rPh>
    <phoneticPr fontId="2"/>
  </si>
  <si>
    <t>機能Bの要求内容定義</t>
    <rPh sb="0" eb="2">
      <t>キノウ</t>
    </rPh>
    <rPh sb="4" eb="6">
      <t>ヨウキュウ</t>
    </rPh>
    <rPh sb="6" eb="8">
      <t>ナイヨウ</t>
    </rPh>
    <rPh sb="8" eb="10">
      <t>テイギ</t>
    </rPh>
    <phoneticPr fontId="2"/>
  </si>
  <si>
    <t>　　システム要件-非機能要件</t>
    <rPh sb="6" eb="8">
      <t>ヨウケン</t>
    </rPh>
    <rPh sb="9" eb="10">
      <t>ヒ</t>
    </rPh>
    <rPh sb="10" eb="12">
      <t>キノウ</t>
    </rPh>
    <rPh sb="12" eb="14">
      <t>ヨウケン</t>
    </rPh>
    <phoneticPr fontId="2"/>
  </si>
  <si>
    <t>・非機能要件定義書</t>
    <rPh sb="1" eb="2">
      <t>ヒ</t>
    </rPh>
    <rPh sb="2" eb="4">
      <t>キノウ</t>
    </rPh>
    <rPh sb="4" eb="6">
      <t>ヨウケン</t>
    </rPh>
    <rPh sb="6" eb="9">
      <t>テイギショ</t>
    </rPh>
    <phoneticPr fontId="2"/>
  </si>
  <si>
    <t>得意先レビュー</t>
    <rPh sb="0" eb="3">
      <t>トクイサキ</t>
    </rPh>
    <phoneticPr fontId="2"/>
  </si>
  <si>
    <t>修正</t>
    <rPh sb="0" eb="2">
      <t>シュウセイ</t>
    </rPh>
    <phoneticPr fontId="2"/>
  </si>
  <si>
    <t>得意先承認</t>
    <rPh sb="0" eb="3">
      <t>トクイサキ</t>
    </rPh>
    <rPh sb="3" eb="5">
      <t>ショウニン</t>
    </rPh>
    <phoneticPr fontId="2"/>
  </si>
  <si>
    <t>外部設計【アプリケーション】</t>
    <rPh sb="0" eb="2">
      <t>ガイブ</t>
    </rPh>
    <rPh sb="2" eb="4">
      <t>セッケイ</t>
    </rPh>
    <phoneticPr fontId="2"/>
  </si>
  <si>
    <t>外部設計書作成</t>
    <rPh sb="0" eb="2">
      <t>ガイブ</t>
    </rPh>
    <rPh sb="2" eb="5">
      <t>セッケイショ</t>
    </rPh>
    <rPh sb="5" eb="7">
      <t>サクセイ</t>
    </rPh>
    <phoneticPr fontId="2"/>
  </si>
  <si>
    <t>　　機能一覧</t>
    <rPh sb="2" eb="4">
      <t>キノウ</t>
    </rPh>
    <rPh sb="4" eb="6">
      <t>イチラン</t>
    </rPh>
    <phoneticPr fontId="2"/>
  </si>
  <si>
    <t>･機能一覧（画面、帳票、バッチ）</t>
    <rPh sb="1" eb="3">
      <t>キノウ</t>
    </rPh>
    <rPh sb="3" eb="5">
      <t>イチラン</t>
    </rPh>
    <rPh sb="6" eb="8">
      <t>ガメン</t>
    </rPh>
    <rPh sb="9" eb="11">
      <t>チョウヒョウ</t>
    </rPh>
    <phoneticPr fontId="2"/>
  </si>
  <si>
    <t>　　外部インターフェース設計</t>
    <rPh sb="2" eb="4">
      <t>ガイブ</t>
    </rPh>
    <rPh sb="12" eb="14">
      <t>セッケイ</t>
    </rPh>
    <phoneticPr fontId="2"/>
  </si>
  <si>
    <t>外部連携仕様</t>
    <rPh sb="0" eb="2">
      <t>ガイブ</t>
    </rPh>
    <rPh sb="2" eb="4">
      <t>レンケイ</t>
    </rPh>
    <rPh sb="4" eb="6">
      <t>シヨウ</t>
    </rPh>
    <phoneticPr fontId="2"/>
  </si>
  <si>
    <t>･外部インターフェース設計書</t>
    <rPh sb="1" eb="3">
      <t>ガイブ</t>
    </rPh>
    <rPh sb="11" eb="14">
      <t>セッケイショ</t>
    </rPh>
    <phoneticPr fontId="2"/>
  </si>
  <si>
    <t>　　DB設計</t>
    <rPh sb="4" eb="6">
      <t>セッケイ</t>
    </rPh>
    <phoneticPr fontId="2"/>
  </si>
  <si>
    <t>論理設計</t>
    <rPh sb="0" eb="2">
      <t>ロンリ</t>
    </rPh>
    <rPh sb="2" eb="4">
      <t>セッケイ</t>
    </rPh>
    <phoneticPr fontId="2"/>
  </si>
  <si>
    <t>･ER図、テーブル一覧</t>
    <rPh sb="3" eb="4">
      <t>ズ</t>
    </rPh>
    <rPh sb="9" eb="11">
      <t>イチラン</t>
    </rPh>
    <phoneticPr fontId="2"/>
  </si>
  <si>
    <t>　　画面設計-機能A</t>
    <rPh sb="2" eb="4">
      <t>ガメン</t>
    </rPh>
    <rPh sb="4" eb="6">
      <t>セッケイ</t>
    </rPh>
    <rPh sb="7" eb="9">
      <t>キノウ</t>
    </rPh>
    <phoneticPr fontId="2"/>
  </si>
  <si>
    <t>画面遷移図、画面イメージ、画面表示項目仕様</t>
    <rPh sb="0" eb="2">
      <t>ガメン</t>
    </rPh>
    <phoneticPr fontId="2"/>
  </si>
  <si>
    <t>･画面設計書（機能A）</t>
    <rPh sb="1" eb="3">
      <t>ガメン</t>
    </rPh>
    <rPh sb="3" eb="6">
      <t>セッケイショ</t>
    </rPh>
    <rPh sb="7" eb="9">
      <t>キノウ</t>
    </rPh>
    <phoneticPr fontId="2"/>
  </si>
  <si>
    <t>　　画面設計-機能B</t>
    <rPh sb="2" eb="4">
      <t>ガメン</t>
    </rPh>
    <rPh sb="4" eb="6">
      <t>セッケイ</t>
    </rPh>
    <rPh sb="7" eb="9">
      <t>キノウ</t>
    </rPh>
    <phoneticPr fontId="2"/>
  </si>
  <si>
    <t>画面遷移図、画面イメージ、画面表示項目仕様</t>
    <phoneticPr fontId="2"/>
  </si>
  <si>
    <t>･画面設計書（機能B）</t>
    <rPh sb="1" eb="3">
      <t>ガメン</t>
    </rPh>
    <rPh sb="3" eb="6">
      <t>セッケイショ</t>
    </rPh>
    <phoneticPr fontId="2"/>
  </si>
  <si>
    <t>　　帳票設計</t>
    <rPh sb="2" eb="4">
      <t>チョウヒョウ</t>
    </rPh>
    <rPh sb="4" eb="6">
      <t>セッケイ</t>
    </rPh>
    <phoneticPr fontId="2"/>
  </si>
  <si>
    <t>帳票項目仕様</t>
    <rPh sb="0" eb="2">
      <t>チョウヒョウ</t>
    </rPh>
    <rPh sb="2" eb="4">
      <t>コウモク</t>
    </rPh>
    <rPh sb="4" eb="6">
      <t>シヨウ</t>
    </rPh>
    <phoneticPr fontId="2"/>
  </si>
  <si>
    <t>･帳票設計書</t>
    <rPh sb="1" eb="3">
      <t>チョウヒョウ</t>
    </rPh>
    <rPh sb="3" eb="6">
      <t>セッケイショ</t>
    </rPh>
    <phoneticPr fontId="2"/>
  </si>
  <si>
    <t>　　バッチ処理設計</t>
    <rPh sb="5" eb="7">
      <t>ショリ</t>
    </rPh>
    <rPh sb="7" eb="9">
      <t>セッケイ</t>
    </rPh>
    <phoneticPr fontId="2"/>
  </si>
  <si>
    <t>バッチ処理仕様</t>
    <rPh sb="3" eb="5">
      <t>ショリ</t>
    </rPh>
    <rPh sb="5" eb="7">
      <t>シヨウ</t>
    </rPh>
    <phoneticPr fontId="2"/>
  </si>
  <si>
    <t>･バッチ処理設計書</t>
    <rPh sb="4" eb="6">
      <t>ショリ</t>
    </rPh>
    <rPh sb="6" eb="9">
      <t>セッケイショ</t>
    </rPh>
    <phoneticPr fontId="2"/>
  </si>
  <si>
    <t>　　エラー処理設計</t>
    <rPh sb="5" eb="7">
      <t>ショリ</t>
    </rPh>
    <rPh sb="7" eb="9">
      <t>セッケイ</t>
    </rPh>
    <phoneticPr fontId="2"/>
  </si>
  <si>
    <t>エラーの種類（原因）と対処方法、エラー発生時の対応方法</t>
    <rPh sb="4" eb="6">
      <t>シュルイ</t>
    </rPh>
    <rPh sb="7" eb="9">
      <t>ゲンイン</t>
    </rPh>
    <rPh sb="11" eb="13">
      <t>タイショ</t>
    </rPh>
    <rPh sb="13" eb="15">
      <t>ホウホウ</t>
    </rPh>
    <rPh sb="19" eb="21">
      <t>ハッセイ</t>
    </rPh>
    <rPh sb="21" eb="22">
      <t>ジ</t>
    </rPh>
    <rPh sb="23" eb="25">
      <t>タイオウ</t>
    </rPh>
    <rPh sb="25" eb="27">
      <t>ホウホウ</t>
    </rPh>
    <phoneticPr fontId="2"/>
  </si>
  <si>
    <t>・エラー処理設計書</t>
    <rPh sb="4" eb="6">
      <t>ショリ</t>
    </rPh>
    <rPh sb="6" eb="9">
      <t>セッケイショ</t>
    </rPh>
    <phoneticPr fontId="2"/>
  </si>
  <si>
    <t>　　ログ出力設計</t>
    <rPh sb="4" eb="6">
      <t>シュツリョク</t>
    </rPh>
    <rPh sb="6" eb="8">
      <t>セッケイ</t>
    </rPh>
    <phoneticPr fontId="2"/>
  </si>
  <si>
    <t>ログの種類、ログレベル、出力内容、出力先、出力フォーマット</t>
    <rPh sb="3" eb="5">
      <t>シュルイ</t>
    </rPh>
    <rPh sb="12" eb="14">
      <t>シュツリョク</t>
    </rPh>
    <rPh sb="14" eb="16">
      <t>ナイヨウ</t>
    </rPh>
    <rPh sb="17" eb="19">
      <t>シュツリョク</t>
    </rPh>
    <rPh sb="19" eb="20">
      <t>サキ</t>
    </rPh>
    <rPh sb="21" eb="23">
      <t>シュツリョク</t>
    </rPh>
    <phoneticPr fontId="2"/>
  </si>
  <si>
    <t>・ログ出力設計書</t>
    <rPh sb="3" eb="5">
      <t>シュツリョク</t>
    </rPh>
    <rPh sb="5" eb="8">
      <t>セッケイショ</t>
    </rPh>
    <phoneticPr fontId="2"/>
  </si>
  <si>
    <t>外部設計【アーキテクチャ、他】</t>
    <rPh sb="0" eb="2">
      <t>ガイブ</t>
    </rPh>
    <rPh sb="2" eb="4">
      <t>セッケイ</t>
    </rPh>
    <rPh sb="13" eb="14">
      <t>ホカ</t>
    </rPh>
    <phoneticPr fontId="2"/>
  </si>
  <si>
    <t>バード/ソフトの構造（アーキテクチャ）や実装方針を決定する</t>
    <rPh sb="8" eb="10">
      <t>コウゾウ</t>
    </rPh>
    <rPh sb="20" eb="22">
      <t>ジッソウ</t>
    </rPh>
    <rPh sb="22" eb="24">
      <t>ホウシン</t>
    </rPh>
    <rPh sb="25" eb="27">
      <t>ケッテイ</t>
    </rPh>
    <phoneticPr fontId="2"/>
  </si>
  <si>
    <t>システム方式設計書作成</t>
    <rPh sb="4" eb="6">
      <t>ホウシキ</t>
    </rPh>
    <rPh sb="6" eb="9">
      <t>セッケイショ</t>
    </rPh>
    <rPh sb="9" eb="11">
      <t>サクセイ</t>
    </rPh>
    <phoneticPr fontId="2"/>
  </si>
  <si>
    <t>　　プラットフォーム設計</t>
    <rPh sb="10" eb="12">
      <t>セッケイ</t>
    </rPh>
    <phoneticPr fontId="2"/>
  </si>
  <si>
    <t>システム基盤決定（ハードウェア、ミドルウェア、フレームワーク）</t>
    <rPh sb="4" eb="6">
      <t>キバン</t>
    </rPh>
    <rPh sb="6" eb="8">
      <t>ケッテイ</t>
    </rPh>
    <phoneticPr fontId="2"/>
  </si>
  <si>
    <t>　　アプリケーション・アーキテクチャ設計</t>
    <rPh sb="18" eb="20">
      <t>セッケイ</t>
    </rPh>
    <phoneticPr fontId="2"/>
  </si>
  <si>
    <t>アプリケーション全体の構造などの決定</t>
    <rPh sb="8" eb="10">
      <t>ゼンタイ</t>
    </rPh>
    <rPh sb="11" eb="13">
      <t>コウゾウ</t>
    </rPh>
    <rPh sb="16" eb="18">
      <t>ケッテイ</t>
    </rPh>
    <phoneticPr fontId="2"/>
  </si>
  <si>
    <r>
      <t>　　</t>
    </r>
    <r>
      <rPr>
        <sz val="11"/>
        <rFont val="ＭＳ Ｐゴシック"/>
        <family val="3"/>
        <charset val="128"/>
      </rPr>
      <t>開発標準やテスト方式</t>
    </r>
    <rPh sb="2" eb="4">
      <t>カイハツ</t>
    </rPh>
    <rPh sb="4" eb="6">
      <t>ヒョウジュン</t>
    </rPh>
    <rPh sb="10" eb="12">
      <t>ホウシキ</t>
    </rPh>
    <phoneticPr fontId="2"/>
  </si>
  <si>
    <t>コーディング規約（Web脆弱性対策、命名規則、禁止事項）、構成管理、実施するテストの種類・方法</t>
    <rPh sb="6" eb="8">
      <t>キヤク</t>
    </rPh>
    <rPh sb="29" eb="31">
      <t>コウセイ</t>
    </rPh>
    <rPh sb="31" eb="33">
      <t>カンリ</t>
    </rPh>
    <rPh sb="34" eb="36">
      <t>ジッシ</t>
    </rPh>
    <rPh sb="42" eb="44">
      <t>シュルイ</t>
    </rPh>
    <rPh sb="45" eb="47">
      <t>ホウホウ</t>
    </rPh>
    <phoneticPr fontId="2"/>
  </si>
  <si>
    <t>･開発標準（コーディング規約、構成管理、他）</t>
    <rPh sb="1" eb="3">
      <t>カイハツ</t>
    </rPh>
    <rPh sb="3" eb="5">
      <t>ヒョウジュン</t>
    </rPh>
    <rPh sb="12" eb="14">
      <t>キヤク</t>
    </rPh>
    <rPh sb="15" eb="17">
      <t>コウセイ</t>
    </rPh>
    <rPh sb="17" eb="19">
      <t>カンリ</t>
    </rPh>
    <rPh sb="20" eb="21">
      <t>ホカ</t>
    </rPh>
    <phoneticPr fontId="2"/>
  </si>
  <si>
    <r>
      <t>　　</t>
    </r>
    <r>
      <rPr>
        <sz val="11"/>
        <rFont val="ＭＳ Ｐゴシック"/>
        <family val="3"/>
        <charset val="128"/>
      </rPr>
      <t>内部レビュー</t>
    </r>
    <rPh sb="2" eb="4">
      <t>ナイブ</t>
    </rPh>
    <phoneticPr fontId="2"/>
  </si>
  <si>
    <r>
      <t>　　</t>
    </r>
    <r>
      <rPr>
        <sz val="11"/>
        <rFont val="ＭＳ Ｐゴシック"/>
        <family val="3"/>
        <charset val="128"/>
      </rPr>
      <t>修正/文書統合</t>
    </r>
    <rPh sb="2" eb="4">
      <t>シュウセイ</t>
    </rPh>
    <rPh sb="5" eb="7">
      <t>ブンショ</t>
    </rPh>
    <rPh sb="7" eb="9">
      <t>トウゴウ</t>
    </rPh>
    <phoneticPr fontId="2"/>
  </si>
  <si>
    <r>
      <t>　　</t>
    </r>
    <r>
      <rPr>
        <sz val="11"/>
        <rFont val="ＭＳ Ｐゴシック"/>
        <family val="3"/>
        <charset val="128"/>
      </rPr>
      <t>承認</t>
    </r>
    <rPh sb="2" eb="4">
      <t>ショウニン</t>
    </rPh>
    <phoneticPr fontId="2"/>
  </si>
  <si>
    <t>その他設計</t>
    <rPh sb="2" eb="3">
      <t>ホカ</t>
    </rPh>
    <rPh sb="3" eb="5">
      <t>セッケイ</t>
    </rPh>
    <phoneticPr fontId="2"/>
  </si>
  <si>
    <t>　　性能/信頼性設計</t>
    <rPh sb="2" eb="4">
      <t>セイノウ</t>
    </rPh>
    <rPh sb="5" eb="8">
      <t>シンライセイ</t>
    </rPh>
    <rPh sb="8" eb="10">
      <t>セッケイ</t>
    </rPh>
    <phoneticPr fontId="2"/>
  </si>
  <si>
    <t>サーバーやストレージの性能や信頼性、ネットワークの回線速度</t>
    <phoneticPr fontId="2"/>
  </si>
  <si>
    <t>　　セキュリティ設計</t>
    <rPh sb="8" eb="10">
      <t>セッケイ</t>
    </rPh>
    <phoneticPr fontId="2"/>
  </si>
  <si>
    <t>アプリケーション、ネットワーク、DBのセキュリティ対策方針決定</t>
    <rPh sb="25" eb="27">
      <t>タイサク</t>
    </rPh>
    <rPh sb="27" eb="29">
      <t>ホウシン</t>
    </rPh>
    <rPh sb="29" eb="31">
      <t>ケッテイ</t>
    </rPh>
    <phoneticPr fontId="2"/>
  </si>
  <si>
    <t>詳細スケジュール作成</t>
    <rPh sb="0" eb="2">
      <t>ショウサイ</t>
    </rPh>
    <rPh sb="8" eb="10">
      <t>サクセイ</t>
    </rPh>
    <phoneticPr fontId="2"/>
  </si>
  <si>
    <t>内部設計</t>
    <rPh sb="0" eb="2">
      <t>ナイブ</t>
    </rPh>
    <rPh sb="2" eb="4">
      <t>セッケイ</t>
    </rPh>
    <phoneticPr fontId="2"/>
  </si>
  <si>
    <t>内部設計書作成</t>
    <rPh sb="0" eb="2">
      <t>ナイブ</t>
    </rPh>
    <rPh sb="2" eb="5">
      <t>セッケイショ</t>
    </rPh>
    <rPh sb="5" eb="7">
      <t>サクセイ</t>
    </rPh>
    <phoneticPr fontId="2"/>
  </si>
  <si>
    <t>･内部設計書</t>
    <rPh sb="1" eb="3">
      <t>ナイブ</t>
    </rPh>
    <rPh sb="3" eb="6">
      <t>セッケイショ</t>
    </rPh>
    <phoneticPr fontId="2"/>
  </si>
  <si>
    <t>　　DB詳細設計</t>
    <rPh sb="4" eb="6">
      <t>ショウサイ</t>
    </rPh>
    <rPh sb="6" eb="8">
      <t>セッケイ</t>
    </rPh>
    <phoneticPr fontId="2"/>
  </si>
  <si>
    <t>物理設計</t>
    <rPh sb="0" eb="2">
      <t>ブツリ</t>
    </rPh>
    <rPh sb="2" eb="4">
      <t>セッケイ</t>
    </rPh>
    <phoneticPr fontId="2"/>
  </si>
  <si>
    <t>・DB項目定義書（テーブル定義書）</t>
    <rPh sb="3" eb="5">
      <t>コウモク</t>
    </rPh>
    <rPh sb="5" eb="8">
      <t>テイギショ</t>
    </rPh>
    <rPh sb="13" eb="15">
      <t>テイギ</t>
    </rPh>
    <rPh sb="15" eb="16">
      <t>ショ</t>
    </rPh>
    <phoneticPr fontId="2"/>
  </si>
  <si>
    <t>　　プログラム設計-機能A</t>
    <rPh sb="7" eb="9">
      <t>セッケイ</t>
    </rPh>
    <rPh sb="10" eb="12">
      <t>キノウ</t>
    </rPh>
    <phoneticPr fontId="2"/>
  </si>
  <si>
    <t>・プログラム設計書（機能A）</t>
    <rPh sb="6" eb="9">
      <t>セッケイショ</t>
    </rPh>
    <rPh sb="10" eb="12">
      <t>キノウ</t>
    </rPh>
    <phoneticPr fontId="2"/>
  </si>
  <si>
    <t>　　プログラム設計-機能B</t>
    <rPh sb="7" eb="9">
      <t>セッケイ</t>
    </rPh>
    <rPh sb="10" eb="12">
      <t>キノウ</t>
    </rPh>
    <phoneticPr fontId="2"/>
  </si>
  <si>
    <t>・プログラム設計書（機能B）</t>
    <rPh sb="6" eb="9">
      <t>セッケイショ</t>
    </rPh>
    <phoneticPr fontId="2"/>
  </si>
  <si>
    <t>製造・構築【インフラ】</t>
    <rPh sb="0" eb="2">
      <t>セイゾウ</t>
    </rPh>
    <rPh sb="3" eb="5">
      <t>コウチク</t>
    </rPh>
    <phoneticPr fontId="2"/>
  </si>
  <si>
    <t>･インフラ環境</t>
    <rPh sb="5" eb="7">
      <t>カンキョウ</t>
    </rPh>
    <phoneticPr fontId="2"/>
  </si>
  <si>
    <t>インフラ構築</t>
    <rPh sb="4" eb="6">
      <t>コウチク</t>
    </rPh>
    <phoneticPr fontId="2"/>
  </si>
  <si>
    <t>　　サーバ</t>
    <phoneticPr fontId="2"/>
  </si>
  <si>
    <t>　　ネットワーク</t>
    <phoneticPr fontId="2"/>
  </si>
  <si>
    <t>　　確認作業（内部）</t>
    <rPh sb="2" eb="4">
      <t>カクニン</t>
    </rPh>
    <rPh sb="4" eb="6">
      <t>サギョウ</t>
    </rPh>
    <rPh sb="7" eb="9">
      <t>ナイブ</t>
    </rPh>
    <phoneticPr fontId="2"/>
  </si>
  <si>
    <t>　　承認</t>
    <rPh sb="2" eb="4">
      <t>ショウニン</t>
    </rPh>
    <phoneticPr fontId="2"/>
  </si>
  <si>
    <t>製造・構築【アプリケーション】</t>
    <rPh sb="0" eb="2">
      <t>セイゾウ</t>
    </rPh>
    <rPh sb="3" eb="5">
      <t>コウチク</t>
    </rPh>
    <phoneticPr fontId="2"/>
  </si>
  <si>
    <t>コーディング</t>
    <phoneticPr fontId="2"/>
  </si>
  <si>
    <t>　　機能A</t>
    <rPh sb="2" eb="4">
      <t>キノウ</t>
    </rPh>
    <phoneticPr fontId="2"/>
  </si>
  <si>
    <t>・ソースコード（機能A）</t>
    <rPh sb="8" eb="10">
      <t>キノウ</t>
    </rPh>
    <phoneticPr fontId="2"/>
  </si>
  <si>
    <t>　　機能B</t>
    <rPh sb="2" eb="4">
      <t>キノウ</t>
    </rPh>
    <phoneticPr fontId="2"/>
  </si>
  <si>
    <t>・ソースコード（機能B）</t>
    <phoneticPr fontId="2"/>
  </si>
  <si>
    <t>コードレビュー</t>
    <phoneticPr fontId="2"/>
  </si>
  <si>
    <t>テスト計画</t>
    <rPh sb="3" eb="5">
      <t>ケイカク</t>
    </rPh>
    <phoneticPr fontId="2"/>
  </si>
  <si>
    <t>テスト計画書作成</t>
    <rPh sb="3" eb="6">
      <t>ケイカクショ</t>
    </rPh>
    <rPh sb="6" eb="8">
      <t>サクセイ</t>
    </rPh>
    <phoneticPr fontId="2"/>
  </si>
  <si>
    <t>実施するテストの種類と目的、テストの範囲・粒度、テスト環境の定義、工程完了判定基準、他</t>
    <rPh sb="0" eb="2">
      <t>ジッシ</t>
    </rPh>
    <rPh sb="8" eb="10">
      <t>シュルイ</t>
    </rPh>
    <rPh sb="11" eb="13">
      <t>モクテキ</t>
    </rPh>
    <rPh sb="18" eb="20">
      <t>ハンイ</t>
    </rPh>
    <rPh sb="21" eb="23">
      <t>リュウド</t>
    </rPh>
    <rPh sb="27" eb="29">
      <t>カンキョウ</t>
    </rPh>
    <rPh sb="30" eb="32">
      <t>テイギ</t>
    </rPh>
    <rPh sb="33" eb="35">
      <t>コウテイ</t>
    </rPh>
    <rPh sb="35" eb="37">
      <t>カンリョウ</t>
    </rPh>
    <rPh sb="37" eb="39">
      <t>ハンテイ</t>
    </rPh>
    <rPh sb="39" eb="41">
      <t>キジュン</t>
    </rPh>
    <rPh sb="42" eb="43">
      <t>ホカ</t>
    </rPh>
    <phoneticPr fontId="2"/>
  </si>
  <si>
    <t>　　作成</t>
    <rPh sb="2" eb="4">
      <t>サクセイ</t>
    </rPh>
    <phoneticPr fontId="2"/>
  </si>
  <si>
    <t>　　内部レビュー</t>
    <rPh sb="2" eb="4">
      <t>ナイブ</t>
    </rPh>
    <phoneticPr fontId="2"/>
  </si>
  <si>
    <t>単体テスト</t>
    <rPh sb="0" eb="2">
      <t>タンタイ</t>
    </rPh>
    <phoneticPr fontId="2"/>
  </si>
  <si>
    <t>個々のプログラムモジュールのテスト</t>
    <rPh sb="0" eb="2">
      <t>ココ</t>
    </rPh>
    <phoneticPr fontId="2"/>
  </si>
  <si>
    <t>単体テストガイドラインの提示</t>
    <rPh sb="0" eb="2">
      <t>タンタイ</t>
    </rPh>
    <rPh sb="12" eb="14">
      <t>テイジ</t>
    </rPh>
    <phoneticPr fontId="2"/>
  </si>
  <si>
    <t>テスト環境準備</t>
    <rPh sb="3" eb="5">
      <t>カンキョウ</t>
    </rPh>
    <rPh sb="5" eb="7">
      <t>ジュンビ</t>
    </rPh>
    <phoneticPr fontId="2"/>
  </si>
  <si>
    <t>単体テスト実施環境構築</t>
    <rPh sb="0" eb="2">
      <t>タンタイ</t>
    </rPh>
    <rPh sb="5" eb="7">
      <t>ジッシ</t>
    </rPh>
    <rPh sb="7" eb="9">
      <t>カンキョウ</t>
    </rPh>
    <rPh sb="9" eb="11">
      <t>コウチク</t>
    </rPh>
    <phoneticPr fontId="2"/>
  </si>
  <si>
    <t>単体テスト項目書作成</t>
    <rPh sb="0" eb="2">
      <t>タンタイ</t>
    </rPh>
    <rPh sb="5" eb="7">
      <t>コウモク</t>
    </rPh>
    <rPh sb="7" eb="8">
      <t>ショ</t>
    </rPh>
    <rPh sb="8" eb="10">
      <t>サクセイ</t>
    </rPh>
    <phoneticPr fontId="2"/>
  </si>
  <si>
    <t>　　作成-機能A</t>
    <rPh sb="2" eb="4">
      <t>サクセイ</t>
    </rPh>
    <rPh sb="5" eb="7">
      <t>キノウ</t>
    </rPh>
    <phoneticPr fontId="2"/>
  </si>
  <si>
    <t>・単体テスト項目書（機能A）</t>
    <rPh sb="1" eb="3">
      <t>タンタイ</t>
    </rPh>
    <rPh sb="6" eb="8">
      <t>コウモク</t>
    </rPh>
    <rPh sb="8" eb="9">
      <t>ショ</t>
    </rPh>
    <rPh sb="10" eb="12">
      <t>キノウ</t>
    </rPh>
    <phoneticPr fontId="2"/>
  </si>
  <si>
    <t>　　作成-機能B</t>
    <rPh sb="2" eb="4">
      <t>サクセイ</t>
    </rPh>
    <rPh sb="5" eb="7">
      <t>キノウ</t>
    </rPh>
    <phoneticPr fontId="2"/>
  </si>
  <si>
    <t>・単体テスト項目書（機能B）</t>
    <rPh sb="1" eb="3">
      <t>タンタイ</t>
    </rPh>
    <rPh sb="6" eb="8">
      <t>コウモク</t>
    </rPh>
    <rPh sb="8" eb="9">
      <t>ショ</t>
    </rPh>
    <rPh sb="10" eb="12">
      <t>キノウ</t>
    </rPh>
    <phoneticPr fontId="2"/>
  </si>
  <si>
    <t>単体テストデータ準備</t>
    <rPh sb="0" eb="2">
      <t>タンタイ</t>
    </rPh>
    <rPh sb="8" eb="10">
      <t>ジュンビ</t>
    </rPh>
    <phoneticPr fontId="2"/>
  </si>
  <si>
    <t>単体テスト実施</t>
    <rPh sb="0" eb="2">
      <t>タンタイ</t>
    </rPh>
    <rPh sb="5" eb="7">
      <t>ジッシ</t>
    </rPh>
    <phoneticPr fontId="2"/>
  </si>
  <si>
    <t>・結果記入済み単体テスト項目書、エビデンス</t>
    <phoneticPr fontId="2"/>
  </si>
  <si>
    <t>単体テスト結果レビュー</t>
    <rPh sb="0" eb="2">
      <t>タンタイ</t>
    </rPh>
    <rPh sb="5" eb="7">
      <t>ケッカ</t>
    </rPh>
    <phoneticPr fontId="2"/>
  </si>
  <si>
    <t>品質指標サマリー受領</t>
    <rPh sb="0" eb="2">
      <t>ヒンシツ</t>
    </rPh>
    <rPh sb="2" eb="4">
      <t>シヒョウ</t>
    </rPh>
    <rPh sb="8" eb="10">
      <t>ジュリョウ</t>
    </rPh>
    <phoneticPr fontId="2"/>
  </si>
  <si>
    <t>（請負の場合）協力会社からサマリーを受領</t>
    <rPh sb="1" eb="3">
      <t>ウケオイ</t>
    </rPh>
    <rPh sb="4" eb="6">
      <t>バアイ</t>
    </rPh>
    <rPh sb="7" eb="9">
      <t>キョウリョク</t>
    </rPh>
    <rPh sb="9" eb="11">
      <t>カイシャ</t>
    </rPh>
    <rPh sb="18" eb="20">
      <t>ジュリョウ</t>
    </rPh>
    <phoneticPr fontId="2"/>
  </si>
  <si>
    <t>・品質指標サマリー</t>
    <rPh sb="1" eb="3">
      <t>ヒンシツ</t>
    </rPh>
    <rPh sb="3" eb="5">
      <t>シヒョウ</t>
    </rPh>
    <phoneticPr fontId="2"/>
  </si>
  <si>
    <t>単体テスト工程完了判定</t>
    <rPh sb="0" eb="2">
      <t>タンタイ</t>
    </rPh>
    <rPh sb="5" eb="7">
      <t>コウテイ</t>
    </rPh>
    <rPh sb="7" eb="9">
      <t>カンリョウ</t>
    </rPh>
    <rPh sb="9" eb="11">
      <t>ハンテイ</t>
    </rPh>
    <phoneticPr fontId="2"/>
  </si>
  <si>
    <t>結合テスト</t>
    <rPh sb="0" eb="2">
      <t>ケツゴウ</t>
    </rPh>
    <phoneticPr fontId="2"/>
  </si>
  <si>
    <t>複数のモジュール（部品）を組み合わせて行うテスト</t>
    <rPh sb="0" eb="2">
      <t>フクスウ</t>
    </rPh>
    <rPh sb="9" eb="11">
      <t>ブヒン</t>
    </rPh>
    <rPh sb="13" eb="14">
      <t>ク</t>
    </rPh>
    <rPh sb="15" eb="16">
      <t>ア</t>
    </rPh>
    <rPh sb="19" eb="20">
      <t>オコナ</t>
    </rPh>
    <phoneticPr fontId="2"/>
  </si>
  <si>
    <t>結合テスト実施環境構築</t>
    <rPh sb="0" eb="2">
      <t>ケツゴウ</t>
    </rPh>
    <rPh sb="5" eb="7">
      <t>ジッシ</t>
    </rPh>
    <rPh sb="7" eb="9">
      <t>カンキョウ</t>
    </rPh>
    <rPh sb="9" eb="11">
      <t>コウチク</t>
    </rPh>
    <phoneticPr fontId="2"/>
  </si>
  <si>
    <t>結合テスト項目書作成</t>
    <rPh sb="0" eb="2">
      <t>ケツゴウ</t>
    </rPh>
    <rPh sb="5" eb="7">
      <t>コウモク</t>
    </rPh>
    <rPh sb="7" eb="8">
      <t>ショ</t>
    </rPh>
    <rPh sb="8" eb="10">
      <t>サクセイ</t>
    </rPh>
    <phoneticPr fontId="2"/>
  </si>
  <si>
    <t>結合テストデータ準備</t>
    <rPh sb="0" eb="2">
      <t>ケツゴウ</t>
    </rPh>
    <rPh sb="8" eb="10">
      <t>ジュンビ</t>
    </rPh>
    <phoneticPr fontId="2"/>
  </si>
  <si>
    <t>結合テスト実施</t>
    <rPh sb="0" eb="2">
      <t>ケツゴウ</t>
    </rPh>
    <rPh sb="5" eb="7">
      <t>ジッシ</t>
    </rPh>
    <phoneticPr fontId="2"/>
  </si>
  <si>
    <t>・結果記入済み結合テスト項目書、エビデンス</t>
    <rPh sb="7" eb="9">
      <t>ケツゴウ</t>
    </rPh>
    <phoneticPr fontId="2"/>
  </si>
  <si>
    <t>結合テスト結果レビュー</t>
    <rPh sb="0" eb="2">
      <t>ケツゴウ</t>
    </rPh>
    <rPh sb="5" eb="7">
      <t>ケッカ</t>
    </rPh>
    <phoneticPr fontId="2"/>
  </si>
  <si>
    <t>結合テスト工程完了判定</t>
    <rPh sb="0" eb="2">
      <t>ケツゴウ</t>
    </rPh>
    <rPh sb="5" eb="7">
      <t>コウテイ</t>
    </rPh>
    <rPh sb="7" eb="9">
      <t>カンリョウ</t>
    </rPh>
    <rPh sb="9" eb="11">
      <t>ハンテイ</t>
    </rPh>
    <phoneticPr fontId="2"/>
  </si>
  <si>
    <t>総合テスト（システムテスト）</t>
    <rPh sb="0" eb="2">
      <t>ソウゴウ</t>
    </rPh>
    <phoneticPr fontId="2"/>
  </si>
  <si>
    <t>ステージング環境でのテスト、性能テスト、負荷テスト、ストレステスト（限界値テスト）</t>
    <rPh sb="6" eb="8">
      <t>カンキョウ</t>
    </rPh>
    <rPh sb="14" eb="16">
      <t>セイノウ</t>
    </rPh>
    <rPh sb="20" eb="22">
      <t>フカ</t>
    </rPh>
    <rPh sb="34" eb="36">
      <t>ゲンカイ</t>
    </rPh>
    <rPh sb="36" eb="37">
      <t>チ</t>
    </rPh>
    <phoneticPr fontId="2"/>
  </si>
  <si>
    <t>総合テスト実施環境構築</t>
    <rPh sb="0" eb="2">
      <t>ソウゴウ</t>
    </rPh>
    <rPh sb="5" eb="7">
      <t>ジッシ</t>
    </rPh>
    <rPh sb="7" eb="9">
      <t>カンキョウ</t>
    </rPh>
    <rPh sb="9" eb="11">
      <t>コウチク</t>
    </rPh>
    <phoneticPr fontId="2"/>
  </si>
  <si>
    <t>総合テスト項目書作成</t>
    <rPh sb="0" eb="2">
      <t>ソウゴウ</t>
    </rPh>
    <rPh sb="5" eb="7">
      <t>コウモク</t>
    </rPh>
    <rPh sb="7" eb="8">
      <t>ショ</t>
    </rPh>
    <rPh sb="8" eb="10">
      <t>サクセイ</t>
    </rPh>
    <phoneticPr fontId="2"/>
  </si>
  <si>
    <t>総合テストデータ準備</t>
    <rPh sb="0" eb="2">
      <t>ソウゴウ</t>
    </rPh>
    <rPh sb="8" eb="10">
      <t>ジュンビ</t>
    </rPh>
    <phoneticPr fontId="2"/>
  </si>
  <si>
    <t>・総合テストデータ</t>
    <rPh sb="1" eb="3">
      <t>ソウゴウ</t>
    </rPh>
    <phoneticPr fontId="2"/>
  </si>
  <si>
    <t>総合テスト実施</t>
    <rPh sb="0" eb="2">
      <t>ソウゴウ</t>
    </rPh>
    <rPh sb="5" eb="7">
      <t>ジッシ</t>
    </rPh>
    <phoneticPr fontId="2"/>
  </si>
  <si>
    <t>・結果記入済み総合テスト項目書、エビデンス</t>
    <phoneticPr fontId="2"/>
  </si>
  <si>
    <t>総合テスト報告書作成</t>
    <rPh sb="0" eb="2">
      <t>ソウゴウ</t>
    </rPh>
    <rPh sb="5" eb="8">
      <t>ホウコクショ</t>
    </rPh>
    <rPh sb="8" eb="10">
      <t>サクセイ</t>
    </rPh>
    <phoneticPr fontId="2"/>
  </si>
  <si>
    <t>・総合テスト報告書</t>
    <rPh sb="1" eb="3">
      <t>ソウゴウ</t>
    </rPh>
    <rPh sb="6" eb="9">
      <t>ホウコクショ</t>
    </rPh>
    <phoneticPr fontId="2"/>
  </si>
  <si>
    <t>得意先レビュー</t>
    <rPh sb="0" eb="3">
      <t>トクイサキ</t>
    </rPh>
    <phoneticPr fontId="2"/>
  </si>
  <si>
    <t>修正</t>
    <rPh sb="0" eb="2">
      <t>シュウセイ</t>
    </rPh>
    <phoneticPr fontId="2"/>
  </si>
  <si>
    <t>得意先の指摘に応じて必要作業を実施（再テスト等）</t>
    <rPh sb="0" eb="3">
      <t>トクイサキ</t>
    </rPh>
    <rPh sb="4" eb="6">
      <t>シテキ</t>
    </rPh>
    <rPh sb="7" eb="8">
      <t>オウ</t>
    </rPh>
    <rPh sb="10" eb="12">
      <t>ヒツヨウ</t>
    </rPh>
    <rPh sb="12" eb="14">
      <t>サギョウ</t>
    </rPh>
    <rPh sb="15" eb="17">
      <t>ジッシ</t>
    </rPh>
    <rPh sb="18" eb="19">
      <t>サイ</t>
    </rPh>
    <rPh sb="22" eb="23">
      <t>ナド</t>
    </rPh>
    <phoneticPr fontId="2"/>
  </si>
  <si>
    <t>得意先承認</t>
    <rPh sb="0" eb="3">
      <t>トクイサキ</t>
    </rPh>
    <rPh sb="3" eb="5">
      <t>ショウニン</t>
    </rPh>
    <phoneticPr fontId="2"/>
  </si>
  <si>
    <t>Web脆弱性診断</t>
    <rPh sb="3" eb="6">
      <t>ゼイジャクセイ</t>
    </rPh>
    <rPh sb="6" eb="8">
      <t>シンダン</t>
    </rPh>
    <phoneticPr fontId="2"/>
  </si>
  <si>
    <t>Web脆弱性診断申込</t>
    <rPh sb="3" eb="6">
      <t>ゼイジャクセイ</t>
    </rPh>
    <rPh sb="6" eb="8">
      <t>シンダン</t>
    </rPh>
    <rPh sb="8" eb="10">
      <t>モウシコ</t>
    </rPh>
    <phoneticPr fontId="2"/>
  </si>
  <si>
    <t>診断T（ ＩＣＴ業務標準化チーム）へ申込</t>
    <rPh sb="18" eb="20">
      <t>モウシコミ</t>
    </rPh>
    <phoneticPr fontId="2"/>
  </si>
  <si>
    <t xml:space="preserve">･Web脆弱性診断申込書 </t>
    <phoneticPr fontId="2"/>
  </si>
  <si>
    <t>Web脆弱性診断実施</t>
    <rPh sb="3" eb="6">
      <t>ゼイジャクセイ</t>
    </rPh>
    <rPh sb="6" eb="8">
      <t>シンダン</t>
    </rPh>
    <rPh sb="8" eb="10">
      <t>ジッシ</t>
    </rPh>
    <phoneticPr fontId="2"/>
  </si>
  <si>
    <t>診断T（ ＩＣＴ業務標準化チーム）にて診断実施</t>
    <rPh sb="0" eb="2">
      <t>シンダン</t>
    </rPh>
    <rPh sb="19" eb="21">
      <t>シンダン</t>
    </rPh>
    <rPh sb="21" eb="23">
      <t>ジッシ</t>
    </rPh>
    <phoneticPr fontId="2"/>
  </si>
  <si>
    <t>･診断結果</t>
    <rPh sb="1" eb="3">
      <t>シンダン</t>
    </rPh>
    <rPh sb="3" eb="5">
      <t>ケッカ</t>
    </rPh>
    <phoneticPr fontId="2"/>
  </si>
  <si>
    <t>是正処置</t>
    <rPh sb="0" eb="2">
      <t>ゼセイ</t>
    </rPh>
    <rPh sb="2" eb="4">
      <t>ショチ</t>
    </rPh>
    <phoneticPr fontId="2"/>
  </si>
  <si>
    <t>診断結果に応じて対応</t>
    <rPh sb="0" eb="2">
      <t>シンダン</t>
    </rPh>
    <rPh sb="2" eb="4">
      <t>ケッカ</t>
    </rPh>
    <rPh sb="5" eb="6">
      <t>オウ</t>
    </rPh>
    <rPh sb="8" eb="10">
      <t>タイオウ</t>
    </rPh>
    <phoneticPr fontId="2"/>
  </si>
  <si>
    <t>受入れテスト【得意先】</t>
    <rPh sb="0" eb="2">
      <t>ウケイ</t>
    </rPh>
    <rPh sb="7" eb="10">
      <t>トクイサキ</t>
    </rPh>
    <phoneticPr fontId="2"/>
  </si>
  <si>
    <t>受入れテスト実施環境構築</t>
    <rPh sb="0" eb="2">
      <t>ウケイ</t>
    </rPh>
    <rPh sb="6" eb="8">
      <t>ジッシ</t>
    </rPh>
    <rPh sb="8" eb="10">
      <t>カンキョウ</t>
    </rPh>
    <rPh sb="10" eb="12">
      <t>コウチク</t>
    </rPh>
    <phoneticPr fontId="2"/>
  </si>
  <si>
    <t>受入れテスト実施</t>
    <rPh sb="0" eb="2">
      <t>ウケイ</t>
    </rPh>
    <rPh sb="6" eb="8">
      <t>ジッシ</t>
    </rPh>
    <phoneticPr fontId="2"/>
  </si>
  <si>
    <t>受入れの得意先承認</t>
    <rPh sb="0" eb="2">
      <t>ウケイ</t>
    </rPh>
    <rPh sb="4" eb="7">
      <t>トクイサキ</t>
    </rPh>
    <rPh sb="7" eb="9">
      <t>ショウニン</t>
    </rPh>
    <phoneticPr fontId="2"/>
  </si>
  <si>
    <r>
      <t>導入・移行</t>
    </r>
    <r>
      <rPr>
        <b/>
        <sz val="11"/>
        <rFont val="ＭＳ Ｐゴシック"/>
        <family val="3"/>
        <charset val="128"/>
      </rPr>
      <t>（リリース）準備</t>
    </r>
    <rPh sb="0" eb="2">
      <t>ドウニュウ</t>
    </rPh>
    <rPh sb="3" eb="5">
      <t>イコウ</t>
    </rPh>
    <rPh sb="11" eb="13">
      <t>ジュンビ</t>
    </rPh>
    <phoneticPr fontId="2"/>
  </si>
  <si>
    <t>業務・システム運用の準備教育</t>
    <rPh sb="0" eb="2">
      <t>ギョウム</t>
    </rPh>
    <rPh sb="7" eb="9">
      <t>ウンヨウ</t>
    </rPh>
    <rPh sb="10" eb="12">
      <t>ジュンビ</t>
    </rPh>
    <rPh sb="12" eb="14">
      <t>キョウイク</t>
    </rPh>
    <phoneticPr fontId="2"/>
  </si>
  <si>
    <t>　　マニュアル作成</t>
    <rPh sb="7" eb="9">
      <t>サクセイ</t>
    </rPh>
    <phoneticPr fontId="2"/>
  </si>
  <si>
    <t>･マニュアル（業務・システム）</t>
    <rPh sb="7" eb="9">
      <t>ギョウム</t>
    </rPh>
    <phoneticPr fontId="2"/>
  </si>
  <si>
    <t>　　　　作成</t>
    <rPh sb="4" eb="6">
      <t>サクセイ</t>
    </rPh>
    <phoneticPr fontId="2"/>
  </si>
  <si>
    <t>　　　　内部レビュー</t>
    <rPh sb="4" eb="6">
      <t>ナイブ</t>
    </rPh>
    <phoneticPr fontId="2"/>
  </si>
  <si>
    <t>　　　　承認</t>
    <rPh sb="4" eb="6">
      <t>ショウニン</t>
    </rPh>
    <phoneticPr fontId="2"/>
  </si>
  <si>
    <t>　　教育実施</t>
    <rPh sb="2" eb="4">
      <t>キョウイク</t>
    </rPh>
    <rPh sb="4" eb="6">
      <t>ジッシ</t>
    </rPh>
    <phoneticPr fontId="2"/>
  </si>
  <si>
    <t>作業実施体制と要員、関連部署と担当者、スケジュール、リリース作業内容（実施作業、復旧作業、リリース時確認項目）、各部門におけるリリース結果の確認項目と報告書について</t>
    <rPh sb="0" eb="2">
      <t>サギョウ</t>
    </rPh>
    <rPh sb="2" eb="4">
      <t>ジッシ</t>
    </rPh>
    <rPh sb="4" eb="6">
      <t>タイセイ</t>
    </rPh>
    <rPh sb="7" eb="9">
      <t>ヨウイン</t>
    </rPh>
    <rPh sb="10" eb="12">
      <t>カンレン</t>
    </rPh>
    <rPh sb="12" eb="14">
      <t>ブショ</t>
    </rPh>
    <rPh sb="15" eb="18">
      <t>タントウシャ</t>
    </rPh>
    <rPh sb="30" eb="32">
      <t>サギョウ</t>
    </rPh>
    <rPh sb="32" eb="34">
      <t>ナイヨウ</t>
    </rPh>
    <rPh sb="35" eb="37">
      <t>ジッシ</t>
    </rPh>
    <rPh sb="37" eb="39">
      <t>サギョウ</t>
    </rPh>
    <rPh sb="40" eb="42">
      <t>フッキュウ</t>
    </rPh>
    <rPh sb="42" eb="44">
      <t>サギョウ</t>
    </rPh>
    <rPh sb="49" eb="50">
      <t>ジ</t>
    </rPh>
    <phoneticPr fontId="2"/>
  </si>
  <si>
    <t>･導入・移行計画書</t>
    <rPh sb="1" eb="3">
      <t>ドウニュウ</t>
    </rPh>
    <rPh sb="4" eb="6">
      <t>イコウ</t>
    </rPh>
    <rPh sb="6" eb="9">
      <t>ケイカクショ</t>
    </rPh>
    <phoneticPr fontId="2"/>
  </si>
  <si>
    <t>計画書得意先レビュー</t>
    <rPh sb="0" eb="2">
      <t>ケイカク</t>
    </rPh>
    <rPh sb="2" eb="3">
      <t>ショ</t>
    </rPh>
    <rPh sb="3" eb="6">
      <t>トクイサキ</t>
    </rPh>
    <phoneticPr fontId="2"/>
  </si>
  <si>
    <t>計画書得意先承認</t>
    <rPh sb="0" eb="2">
      <t>ケイカク</t>
    </rPh>
    <rPh sb="2" eb="3">
      <t>ショ</t>
    </rPh>
    <rPh sb="3" eb="6">
      <t>トクイサキ</t>
    </rPh>
    <rPh sb="6" eb="8">
      <t>ショウニン</t>
    </rPh>
    <phoneticPr fontId="2"/>
  </si>
  <si>
    <t>リリース管理票作成</t>
    <rPh sb="4" eb="6">
      <t>カンリ</t>
    </rPh>
    <rPh sb="6" eb="7">
      <t>ヒョウ</t>
    </rPh>
    <rPh sb="7" eb="9">
      <t>サクセイ</t>
    </rPh>
    <phoneticPr fontId="2"/>
  </si>
  <si>
    <t>リリース内容、リリースファイルのバージョン、リリース日時、リリース時確認事項等（リリース作業手順書に詳細を別途記載）</t>
    <rPh sb="4" eb="6">
      <t>ナイヨウ</t>
    </rPh>
    <rPh sb="26" eb="28">
      <t>ニチジ</t>
    </rPh>
    <rPh sb="33" eb="34">
      <t>ジ</t>
    </rPh>
    <rPh sb="34" eb="36">
      <t>カクニン</t>
    </rPh>
    <rPh sb="36" eb="39">
      <t>ジコウナド</t>
    </rPh>
    <rPh sb="44" eb="46">
      <t>サギョウ</t>
    </rPh>
    <rPh sb="46" eb="48">
      <t>テジュン</t>
    </rPh>
    <rPh sb="48" eb="49">
      <t>ショ</t>
    </rPh>
    <rPh sb="50" eb="52">
      <t>ショウサイ</t>
    </rPh>
    <rPh sb="53" eb="55">
      <t>ベット</t>
    </rPh>
    <rPh sb="55" eb="57">
      <t>キサイ</t>
    </rPh>
    <phoneticPr fontId="2"/>
  </si>
  <si>
    <t>・リリース管理票</t>
    <rPh sb="5" eb="7">
      <t>カンリ</t>
    </rPh>
    <rPh sb="7" eb="8">
      <t>ヒョウ</t>
    </rPh>
    <phoneticPr fontId="2"/>
  </si>
  <si>
    <t>リリース作業手順書作成</t>
    <rPh sb="4" eb="6">
      <t>サギョウ</t>
    </rPh>
    <rPh sb="6" eb="8">
      <t>テジュン</t>
    </rPh>
    <rPh sb="8" eb="9">
      <t>ショ</t>
    </rPh>
    <rPh sb="9" eb="11">
      <t>サクセイ</t>
    </rPh>
    <phoneticPr fontId="2"/>
  </si>
  <si>
    <t>リリース作業詳細手順、切り戻し作業手順、リリース後確認手順</t>
    <rPh sb="4" eb="6">
      <t>サギョウ</t>
    </rPh>
    <rPh sb="6" eb="8">
      <t>ショウサイ</t>
    </rPh>
    <rPh sb="8" eb="10">
      <t>テジュン</t>
    </rPh>
    <rPh sb="11" eb="12">
      <t>キ</t>
    </rPh>
    <rPh sb="13" eb="14">
      <t>モド</t>
    </rPh>
    <rPh sb="15" eb="17">
      <t>サギョウ</t>
    </rPh>
    <rPh sb="17" eb="19">
      <t>テジュン</t>
    </rPh>
    <rPh sb="24" eb="25">
      <t>ゴ</t>
    </rPh>
    <rPh sb="25" eb="27">
      <t>カクニン</t>
    </rPh>
    <rPh sb="27" eb="29">
      <t>テジュン</t>
    </rPh>
    <phoneticPr fontId="2"/>
  </si>
  <si>
    <t>・リリース作業手順書</t>
    <rPh sb="5" eb="7">
      <t>サギョウ</t>
    </rPh>
    <rPh sb="7" eb="10">
      <t>テジュンショ</t>
    </rPh>
    <phoneticPr fontId="2"/>
  </si>
  <si>
    <t>作業手順書得意先レビュー</t>
    <rPh sb="0" eb="2">
      <t>サギョウ</t>
    </rPh>
    <rPh sb="2" eb="4">
      <t>テジュン</t>
    </rPh>
    <rPh sb="4" eb="5">
      <t>ショ</t>
    </rPh>
    <rPh sb="5" eb="8">
      <t>トクイサキ</t>
    </rPh>
    <phoneticPr fontId="2"/>
  </si>
  <si>
    <t>作業手順書得意先承認</t>
    <rPh sb="0" eb="2">
      <t>サギョウ</t>
    </rPh>
    <rPh sb="2" eb="5">
      <t>テジュンショ</t>
    </rPh>
    <rPh sb="5" eb="8">
      <t>トクイサキ</t>
    </rPh>
    <rPh sb="8" eb="10">
      <t>ショウニン</t>
    </rPh>
    <phoneticPr fontId="2"/>
  </si>
  <si>
    <t>納品成果物一式準備</t>
    <rPh sb="0" eb="2">
      <t>ノウヒン</t>
    </rPh>
    <rPh sb="2" eb="4">
      <t>セイカ</t>
    </rPh>
    <rPh sb="4" eb="5">
      <t>ブツ</t>
    </rPh>
    <rPh sb="5" eb="7">
      <t>イッシキ</t>
    </rPh>
    <rPh sb="7" eb="9">
      <t>ジュンビ</t>
    </rPh>
    <phoneticPr fontId="2"/>
  </si>
  <si>
    <t>・納品成果物一式</t>
    <rPh sb="1" eb="3">
      <t>ノウヒン</t>
    </rPh>
    <rPh sb="3" eb="6">
      <t>セイカブツ</t>
    </rPh>
    <rPh sb="6" eb="8">
      <t>イッシキ</t>
    </rPh>
    <phoneticPr fontId="2"/>
  </si>
  <si>
    <t>リリース前最終確認</t>
    <rPh sb="4" eb="5">
      <t>マエ</t>
    </rPh>
    <rPh sb="5" eb="7">
      <t>サイシュウ</t>
    </rPh>
    <rPh sb="7" eb="9">
      <t>カクニン</t>
    </rPh>
    <phoneticPr fontId="2"/>
  </si>
  <si>
    <t>リリース準備の抜け漏れ確認</t>
    <rPh sb="4" eb="6">
      <t>ジュンビ</t>
    </rPh>
    <rPh sb="7" eb="8">
      <t>ヌ</t>
    </rPh>
    <rPh sb="9" eb="10">
      <t>モ</t>
    </rPh>
    <rPh sb="11" eb="13">
      <t>カクニン</t>
    </rPh>
    <phoneticPr fontId="2"/>
  </si>
  <si>
    <t>導入・移行リハーサル</t>
    <rPh sb="0" eb="2">
      <t>ドウニュウ</t>
    </rPh>
    <rPh sb="3" eb="5">
      <t>イコウ</t>
    </rPh>
    <phoneticPr fontId="2"/>
  </si>
  <si>
    <t>　　リハーサル準備</t>
    <rPh sb="7" eb="9">
      <t>ジュンビ</t>
    </rPh>
    <phoneticPr fontId="2"/>
  </si>
  <si>
    <t>タイムスケジュール・体制の決定、リハーサル実施環境・リハーサル用データの準備</t>
    <rPh sb="10" eb="12">
      <t>タイセイ</t>
    </rPh>
    <rPh sb="21" eb="23">
      <t>ジッシ</t>
    </rPh>
    <rPh sb="23" eb="25">
      <t>カンキョウ</t>
    </rPh>
    <rPh sb="31" eb="32">
      <t>ヨウ</t>
    </rPh>
    <rPh sb="36" eb="38">
      <t>ジュンビ</t>
    </rPh>
    <phoneticPr fontId="2"/>
  </si>
  <si>
    <t>　　リハーサル実施</t>
    <rPh sb="7" eb="9">
      <t>ジッシ</t>
    </rPh>
    <phoneticPr fontId="2"/>
  </si>
  <si>
    <t>　　本番移行判定</t>
    <rPh sb="2" eb="4">
      <t>ホンバン</t>
    </rPh>
    <rPh sb="4" eb="6">
      <t>イコウ</t>
    </rPh>
    <rPh sb="6" eb="8">
      <t>ハンテイ</t>
    </rPh>
    <phoneticPr fontId="2"/>
  </si>
  <si>
    <t>納品、本番環境導入・移行</t>
    <rPh sb="0" eb="2">
      <t>ノウヒン</t>
    </rPh>
    <rPh sb="3" eb="5">
      <t>ホンバン</t>
    </rPh>
    <rPh sb="5" eb="7">
      <t>カンキョウ</t>
    </rPh>
    <rPh sb="7" eb="9">
      <t>ドウニュウ</t>
    </rPh>
    <rPh sb="10" eb="12">
      <t>イコウ</t>
    </rPh>
    <phoneticPr fontId="2"/>
  </si>
  <si>
    <t>リリース</t>
    <phoneticPr fontId="2"/>
  </si>
  <si>
    <t>一般公開、本番環境移行等の実施</t>
    <rPh sb="0" eb="2">
      <t>イッパン</t>
    </rPh>
    <rPh sb="2" eb="4">
      <t>コウカイ</t>
    </rPh>
    <rPh sb="5" eb="7">
      <t>ホンバン</t>
    </rPh>
    <rPh sb="7" eb="9">
      <t>カンキョウ</t>
    </rPh>
    <rPh sb="9" eb="11">
      <t>イコウ</t>
    </rPh>
    <rPh sb="11" eb="12">
      <t>ナド</t>
    </rPh>
    <rPh sb="13" eb="15">
      <t>ジッシ</t>
    </rPh>
    <phoneticPr fontId="2"/>
  </si>
  <si>
    <t>得意先納品</t>
    <rPh sb="0" eb="3">
      <t>トクイサキ</t>
    </rPh>
    <rPh sb="3" eb="5">
      <t>ノウヒン</t>
    </rPh>
    <phoneticPr fontId="2"/>
  </si>
  <si>
    <t>ドキュメント類の納品</t>
    <rPh sb="6" eb="7">
      <t>ルイ</t>
    </rPh>
    <rPh sb="8" eb="10">
      <t>ノウヒン</t>
    </rPh>
    <phoneticPr fontId="2"/>
  </si>
  <si>
    <t>初期サポート</t>
    <rPh sb="0" eb="2">
      <t>ショキ</t>
    </rPh>
    <phoneticPr fontId="2"/>
  </si>
  <si>
    <t>運用・保守</t>
    <rPh sb="0" eb="2">
      <t>ウンヨウ</t>
    </rPh>
    <rPh sb="3" eb="5">
      <t>ホシュ</t>
    </rPh>
    <phoneticPr fontId="2"/>
  </si>
  <si>
    <t>通常運用作業の実施手順、作業終了報告方法、バックアップ手順、監視手順、障害時対応方法・体制、
ソフトウェア保守（バグ改修や各種バージョンアップ時の作業手順）、ハードウェア保守（障害機器の交換や環境移行等）</t>
    <rPh sb="0" eb="2">
      <t>ツウジョウ</t>
    </rPh>
    <rPh sb="2" eb="4">
      <t>ウンヨウ</t>
    </rPh>
    <rPh sb="4" eb="6">
      <t>サギョウ</t>
    </rPh>
    <rPh sb="7" eb="9">
      <t>ジッシ</t>
    </rPh>
    <rPh sb="9" eb="11">
      <t>テジュン</t>
    </rPh>
    <rPh sb="12" eb="14">
      <t>サギョウ</t>
    </rPh>
    <rPh sb="14" eb="16">
      <t>シュウリョウ</t>
    </rPh>
    <rPh sb="16" eb="18">
      <t>ホウコク</t>
    </rPh>
    <rPh sb="18" eb="20">
      <t>ホウホウ</t>
    </rPh>
    <rPh sb="27" eb="29">
      <t>テジュン</t>
    </rPh>
    <rPh sb="35" eb="37">
      <t>ショウガイ</t>
    </rPh>
    <rPh sb="37" eb="38">
      <t>ジ</t>
    </rPh>
    <rPh sb="38" eb="40">
      <t>タイオウ</t>
    </rPh>
    <rPh sb="40" eb="42">
      <t>ホウホウ</t>
    </rPh>
    <rPh sb="43" eb="45">
      <t>タイセイ</t>
    </rPh>
    <phoneticPr fontId="2"/>
  </si>
  <si>
    <t>・保守・運用計画書</t>
    <phoneticPr fontId="53"/>
  </si>
  <si>
    <t>･テスト計画書</t>
    <phoneticPr fontId="53"/>
  </si>
  <si>
    <t>・要員アサイン管理表</t>
    <phoneticPr fontId="53"/>
  </si>
  <si>
    <t>･議事録
・工程移行判定記録表</t>
    <rPh sb="1" eb="4">
      <t>ギジロク</t>
    </rPh>
    <phoneticPr fontId="2"/>
  </si>
  <si>
    <t>･議事録
・プロジェクト状況報告書</t>
    <rPh sb="1" eb="4">
      <t>ギジロク</t>
    </rPh>
    <phoneticPr fontId="2"/>
  </si>
  <si>
    <t>・工程移行判定記録表</t>
    <phoneticPr fontId="2"/>
  </si>
  <si>
    <t>・レビュー記録票
・成果物管理台帳</t>
  </si>
  <si>
    <t>・レビュー記録票
・成果物管理台帳</t>
    <phoneticPr fontId="53"/>
  </si>
  <si>
    <t>･結合テスト項目書
・要件管理台帳</t>
    <rPh sb="1" eb="3">
      <t>ケツゴウ</t>
    </rPh>
    <rPh sb="6" eb="8">
      <t>コウモク</t>
    </rPh>
    <rPh sb="8" eb="9">
      <t>ショ</t>
    </rPh>
    <phoneticPr fontId="2"/>
  </si>
  <si>
    <t>･要件定義書
・要件管理台帳</t>
    <rPh sb="1" eb="3">
      <t>ヨウケン</t>
    </rPh>
    <rPh sb="3" eb="6">
      <t>テイギショ</t>
    </rPh>
    <phoneticPr fontId="2"/>
  </si>
  <si>
    <t>･レビュー記録票
・成果物管理台帳</t>
  </si>
  <si>
    <t>･外部設計書
・要件管理台帳</t>
    <rPh sb="1" eb="3">
      <t>ガイブ</t>
    </rPh>
    <rPh sb="3" eb="6">
      <t>セッケイショ</t>
    </rPh>
    <phoneticPr fontId="2"/>
  </si>
  <si>
    <t>・レビュー記録票
・成果物管理台帳
・変更要求管理台帳
・変更要求管理票</t>
  </si>
  <si>
    <t>･システム方式設計書
・要件管理台帳</t>
    <rPh sb="5" eb="7">
      <t>ホウシキ</t>
    </rPh>
    <rPh sb="7" eb="10">
      <t>セッケイショ</t>
    </rPh>
    <phoneticPr fontId="2"/>
  </si>
  <si>
    <t>・総合テスト項目書
・要件管理台帳</t>
    <rPh sb="1" eb="3">
      <t>ソウゴウ</t>
    </rPh>
    <rPh sb="6" eb="8">
      <t>コウモク</t>
    </rPh>
    <rPh sb="8" eb="9">
      <t>ショ</t>
    </rPh>
    <phoneticPr fontId="2"/>
  </si>
  <si>
    <t>･議事録
・プロジェクト成功事例・教訓</t>
    <rPh sb="1" eb="4">
      <t>ギジロク</t>
    </rPh>
    <phoneticPr fontId="2"/>
  </si>
  <si>
    <t>・レビュー記録票</t>
    <phoneticPr fontId="53"/>
  </si>
  <si>
    <r>
      <t>･</t>
    </r>
    <r>
      <rPr>
        <sz val="11"/>
        <rFont val="ＭＳ Ｐゴシック"/>
        <family val="3"/>
        <charset val="128"/>
      </rPr>
      <t>全社ファイルサーバ利用申請書、PROJECTフォルダ</t>
    </r>
    <rPh sb="1" eb="3">
      <t>ゼンシャ</t>
    </rPh>
    <rPh sb="10" eb="12">
      <t>リヨウ</t>
    </rPh>
    <rPh sb="12" eb="15">
      <t>シンセイショ</t>
    </rPh>
    <phoneticPr fontId="2"/>
  </si>
  <si>
    <r>
      <t>･</t>
    </r>
    <r>
      <rPr>
        <sz val="11"/>
        <rFont val="ＭＳ Ｐゴシック"/>
        <family val="3"/>
        <charset val="128"/>
      </rPr>
      <t>Subversion利用申請書、Subversion利用環境</t>
    </r>
    <rPh sb="11" eb="13">
      <t>リヨウ</t>
    </rPh>
    <rPh sb="13" eb="16">
      <t>シンセイショ</t>
    </rPh>
    <rPh sb="27" eb="29">
      <t>リヨウ</t>
    </rPh>
    <rPh sb="29" eb="31">
      <t>カンキョウ</t>
    </rPh>
    <phoneticPr fontId="2"/>
  </si>
  <si>
    <r>
      <t>･システム</t>
    </r>
    <r>
      <rPr>
        <sz val="11"/>
        <rFont val="ＭＳ Ｐゴシック"/>
        <family val="3"/>
        <charset val="128"/>
      </rPr>
      <t>概念図、ネットワーク構成図、ハードウェア構成図、ソフトウェア構成図
･システムフロー図</t>
    </r>
    <rPh sb="5" eb="8">
      <t>ガイネンズ</t>
    </rPh>
    <rPh sb="15" eb="18">
      <t>コウセイズ</t>
    </rPh>
    <rPh sb="25" eb="28">
      <t>コウセイズ</t>
    </rPh>
    <rPh sb="35" eb="37">
      <t>コウセイ</t>
    </rPh>
    <rPh sb="37" eb="38">
      <t>ズ</t>
    </rPh>
    <rPh sb="47" eb="48">
      <t>ズ</t>
    </rPh>
    <phoneticPr fontId="2"/>
  </si>
  <si>
    <r>
      <t>品質・性能</t>
    </r>
    <r>
      <rPr>
        <sz val="11"/>
        <rFont val="ＭＳ Ｐゴシック"/>
        <family val="3"/>
        <charset val="128"/>
      </rPr>
      <t>（応答時間、稼働率、他）、セキュリティ、運用・保守、システム移行、他</t>
    </r>
    <rPh sb="0" eb="2">
      <t>ヒンシツ</t>
    </rPh>
    <rPh sb="3" eb="5">
      <t>セイノウ</t>
    </rPh>
    <rPh sb="6" eb="8">
      <t>オウトウ</t>
    </rPh>
    <rPh sb="8" eb="10">
      <t>ジカン</t>
    </rPh>
    <rPh sb="11" eb="13">
      <t>カドウ</t>
    </rPh>
    <rPh sb="13" eb="14">
      <t>リツ</t>
    </rPh>
    <rPh sb="15" eb="16">
      <t>ホカ</t>
    </rPh>
    <rPh sb="25" eb="27">
      <t>ウンヨウ</t>
    </rPh>
    <rPh sb="28" eb="30">
      <t>ホシュ</t>
    </rPh>
    <rPh sb="35" eb="37">
      <t>イコウ</t>
    </rPh>
    <rPh sb="38" eb="39">
      <t>ホカ</t>
    </rPh>
    <phoneticPr fontId="2"/>
  </si>
  <si>
    <r>
      <t>Webサーバ、</t>
    </r>
    <r>
      <rPr>
        <sz val="11"/>
        <rFont val="ＭＳ Ｐゴシック"/>
        <family val="3"/>
        <charset val="128"/>
      </rPr>
      <t>APサーバ、DBサーバ、バックアップサーバ、他</t>
    </r>
    <rPh sb="29" eb="30">
      <t>ホカ</t>
    </rPh>
    <phoneticPr fontId="2"/>
  </si>
  <si>
    <r>
      <rPr>
        <sz val="11"/>
        <rFont val="ＭＳ Ｐゴシック"/>
        <family val="3"/>
        <charset val="128"/>
      </rPr>
      <t>（請負の場合）協力会社に単体テストガイドラインを提示する</t>
    </r>
    <rPh sb="1" eb="3">
      <t>ウケオイ</t>
    </rPh>
    <rPh sb="4" eb="6">
      <t>バアイ</t>
    </rPh>
    <rPh sb="7" eb="9">
      <t>キョウリョク</t>
    </rPh>
    <rPh sb="9" eb="11">
      <t>カイシャ</t>
    </rPh>
    <rPh sb="12" eb="14">
      <t>タンタイ</t>
    </rPh>
    <rPh sb="24" eb="26">
      <t>テイジ</t>
    </rPh>
    <phoneticPr fontId="2"/>
  </si>
  <si>
    <r>
      <t>導入・移行</t>
    </r>
    <r>
      <rPr>
        <sz val="11"/>
        <rFont val="ＭＳ Ｐゴシック"/>
        <family val="3"/>
        <charset val="128"/>
      </rPr>
      <t>（リリース）計画書作成</t>
    </r>
    <rPh sb="0" eb="2">
      <t>ドウニュウ</t>
    </rPh>
    <rPh sb="3" eb="5">
      <t>イコウ</t>
    </rPh>
    <phoneticPr fontId="2"/>
  </si>
  <si>
    <r>
      <rPr>
        <sz val="11"/>
        <rFont val="ＭＳ Ｐゴシック"/>
        <family val="3"/>
        <charset val="128"/>
      </rPr>
      <t>保守運用計画書作成</t>
    </r>
    <rPh sb="0" eb="2">
      <t>ホシュ</t>
    </rPh>
    <rPh sb="2" eb="4">
      <t>ウンヨウ</t>
    </rPh>
    <rPh sb="4" eb="6">
      <t>ケイカク</t>
    </rPh>
    <rPh sb="6" eb="7">
      <t>ショ</t>
    </rPh>
    <rPh sb="7" eb="9">
      <t>サクセイ</t>
    </rPh>
    <phoneticPr fontId="2"/>
  </si>
  <si>
    <t>Ｂ-①　項番、大項目、中項目、作業詳細を入力してください。</t>
    <rPh sb="4" eb="6">
      <t>コウバン</t>
    </rPh>
    <rPh sb="7" eb="10">
      <t>ダイコウモク</t>
    </rPh>
    <rPh sb="11" eb="12">
      <t>ナカ</t>
    </rPh>
    <rPh sb="12" eb="14">
      <t>コウモク</t>
    </rPh>
    <rPh sb="15" eb="17">
      <t>サギョウ</t>
    </rPh>
    <rPh sb="17" eb="19">
      <t>ショウサイ</t>
    </rPh>
    <rPh sb="20" eb="22">
      <t>ニュウリョク</t>
    </rPh>
    <phoneticPr fontId="49"/>
  </si>
  <si>
    <t>※「WBSサンプル」シートの項目をコピー＆ペーストすると、標準的なタスクを簡単に入力できます。その後、各プロジェクトに合わせてカスタマイズしてください。</t>
    <rPh sb="14" eb="16">
      <t>コウモク</t>
    </rPh>
    <rPh sb="29" eb="32">
      <t>ヒョウジュンテキ</t>
    </rPh>
    <rPh sb="37" eb="39">
      <t>カンタン</t>
    </rPh>
    <rPh sb="40" eb="42">
      <t>ニュウリョク</t>
    </rPh>
    <rPh sb="49" eb="50">
      <t>ゴ</t>
    </rPh>
    <rPh sb="51" eb="52">
      <t>カク</t>
    </rPh>
    <rPh sb="59" eb="60">
      <t>ア</t>
    </rPh>
    <phoneticPr fontId="49"/>
  </si>
  <si>
    <t>祝</t>
  </si>
  <si>
    <t>見積もり受領時に、協力会社品質対策チェックリストも受領
確認用チェックリストで受領時確認実施</t>
    <rPh sb="0" eb="2">
      <t>ミツ</t>
    </rPh>
    <rPh sb="4" eb="6">
      <t>ジュリョウ</t>
    </rPh>
    <rPh sb="6" eb="7">
      <t>ジ</t>
    </rPh>
    <rPh sb="9" eb="11">
      <t>キョウリョク</t>
    </rPh>
    <rPh sb="11" eb="13">
      <t>カイシャ</t>
    </rPh>
    <rPh sb="13" eb="15">
      <t>ヒンシツ</t>
    </rPh>
    <rPh sb="15" eb="17">
      <t>タイサク</t>
    </rPh>
    <rPh sb="25" eb="27">
      <t>ジュリョウ</t>
    </rPh>
    <rPh sb="28" eb="31">
      <t>カクニンヨウ</t>
    </rPh>
    <rPh sb="39" eb="41">
      <t>ジュリョウ</t>
    </rPh>
    <rPh sb="41" eb="42">
      <t>ジ</t>
    </rPh>
    <rPh sb="42" eb="44">
      <t>カクニン</t>
    </rPh>
    <rPh sb="44" eb="46">
      <t>ジッシ</t>
    </rPh>
    <phoneticPr fontId="2"/>
  </si>
  <si>
    <t>･協力会社の見積書
･【協力会社様記入用】協力会社品質対策チェックリスト
･【（確認）確認用】協力会社品質対策チェックリスト</t>
  </si>
  <si>
    <t>･【（確認）確認用】協力会社品質対策チェックリスト</t>
    <rPh sb="9" eb="12">
      <t>カクニンヨウ</t>
    </rPh>
    <rPh sb="13" eb="15">
      <t>キョウリョク</t>
    </rPh>
    <rPh sb="15" eb="17">
      <t>カイシャ</t>
    </rPh>
    <rPh sb="17" eb="19">
      <t>ヒンシツ</t>
    </rPh>
    <rPh sb="19" eb="21">
      <t>タイサク</t>
    </rPh>
    <phoneticPr fontId="2"/>
  </si>
  <si>
    <t>BC</t>
    <phoneticPr fontId="57"/>
  </si>
  <si>
    <t>説明</t>
    <rPh sb="0" eb="2">
      <t>セツメイ</t>
    </rPh>
    <phoneticPr fontId="3"/>
  </si>
  <si>
    <t>()はサポート</t>
    <phoneticPr fontId="57"/>
  </si>
  <si>
    <t>PJT関係者</t>
    <rPh sb="3" eb="6">
      <t>カンケイシャ</t>
    </rPh>
    <phoneticPr fontId="57"/>
  </si>
  <si>
    <t>小項目</t>
    <rPh sb="0" eb="1">
      <t>ショウ</t>
    </rPh>
    <rPh sb="1" eb="3">
      <t>コウモク</t>
    </rPh>
    <phoneticPr fontId="3"/>
  </si>
  <si>
    <t>全体</t>
    <rPh sb="0" eb="2">
      <t>ゼンタイ</t>
    </rPh>
    <phoneticPr fontId="57"/>
  </si>
  <si>
    <t>中項目</t>
    <rPh sb="0" eb="1">
      <t>ナカ</t>
    </rPh>
    <rPh sb="1" eb="3">
      <t>コウモク</t>
    </rPh>
    <phoneticPr fontId="3"/>
  </si>
  <si>
    <t>キックオフ実施</t>
    <rPh sb="5" eb="7">
      <t>ジッシ</t>
    </rPh>
    <phoneticPr fontId="57"/>
  </si>
  <si>
    <t>リモート
作業可</t>
    <rPh sb="5" eb="7">
      <t>サギョウ</t>
    </rPh>
    <rPh sb="7" eb="8">
      <t>カ</t>
    </rPh>
    <phoneticPr fontId="3"/>
  </si>
  <si>
    <t>-</t>
    <phoneticPr fontId="57"/>
  </si>
  <si>
    <t>プロジェクト計画合意</t>
    <rPh sb="6" eb="8">
      <t>ケイカク</t>
    </rPh>
    <rPh sb="8" eb="10">
      <t>ゴウイ</t>
    </rPh>
    <phoneticPr fontId="57"/>
  </si>
  <si>
    <t>作成日／作成者</t>
    <rPh sb="0" eb="3">
      <t>サクセイビ</t>
    </rPh>
    <rPh sb="4" eb="7">
      <t>サクセイシャ</t>
    </rPh>
    <phoneticPr fontId="49"/>
  </si>
  <si>
    <t>ｽﾃｰﾀｽ</t>
    <phoneticPr fontId="3"/>
  </si>
  <si>
    <t>●</t>
    <phoneticPr fontId="57"/>
  </si>
  <si>
    <t>週次Mtg.</t>
    <rPh sb="0" eb="2">
      <t>シュウジ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</si>
</sst>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m"/>
    <numFmt numFmtId="177" formatCode="d"/>
    <numFmt numFmtId="178" formatCode="m/d;@"/>
    <numFmt numFmtId="179" formatCode="0&quot;日&quot;"/>
    <numFmt numFmtId="180" formatCode="@&quot;%&quot;"/>
    <numFmt numFmtId="181" formatCode="_(&quot;$&quot;* #,##0_);_(&quot;$&quot;* &quot;¥&quot;&quot;¥&quot;\(#,##0&quot;¥&quot;&quot;¥&quot;\);_(&quot;$&quot;* &quot;-&quot;_);_(@_)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&quot;$&quot;#,##0_);[Red]\(&quot;$&quot;#,##0\)"/>
    <numFmt numFmtId="185" formatCode="&quot;$&quot;#,##0.00_);[Red]\(&quot;$&quot;#,##0.00\)"/>
    <numFmt numFmtId="186" formatCode="_(* #,##0.00_);_(* \(#,##0.00\);_(* &quot;-&quot;??_);_(@_)"/>
    <numFmt numFmtId="187" formatCode="_(* #,##0_);_(* \(#,##0\);_(* &quot;-&quot;_);_(@_)"/>
    <numFmt numFmtId="188" formatCode="\+#,##0\ ;\-#,##0\ "/>
    <numFmt numFmtId="189" formatCode="\(#,##0\)\ ;[Red]\(\-#,##0\)\ "/>
    <numFmt numFmtId="190" formatCode="\ \ \ "/>
    <numFmt numFmtId="191" formatCode="#,##0;\-#,##0;&quot;-&quot;"/>
    <numFmt numFmtId="192" formatCode="&quot;｣&quot;#,##0.00;\-&quot;｣&quot;#,##0.00"/>
    <numFmt numFmtId="193" formatCode="0_)"/>
  </numFmts>
  <fonts count="73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lr oSVbN"/>
      <family val="3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2"/>
      <name val="Tms Rmn"/>
      <family val="1"/>
    </font>
    <font>
      <sz val="10"/>
      <name val="ＭＳ 明朝"/>
      <family val="1"/>
      <charset val="128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0"/>
      <name val="MS Sans Serif"/>
      <family val="2"/>
    </font>
    <font>
      <sz val="10"/>
      <name val="ＭＳ Ｐゴシック"/>
      <family val="3"/>
      <charset val="128"/>
    </font>
    <font>
      <sz val="7"/>
      <name val="Small Fonts"/>
      <family val="2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b/>
      <sz val="11"/>
      <name val="Helv"/>
      <family val="2"/>
    </font>
    <font>
      <sz val="10"/>
      <name val="Helv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2"/>
      <name val="標準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6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Osaka"/>
      <family val="3"/>
      <charset val="128"/>
    </font>
    <font>
      <sz val="14"/>
      <name val="ＭＳ Ｐゴシック"/>
      <family val="3"/>
      <charset val="128"/>
    </font>
    <font>
      <sz val="12"/>
      <name val="本明朝－Ｍ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8"/>
      <name val="MS UI Gothic"/>
      <family val="3"/>
      <charset val="128"/>
    </font>
    <font>
      <sz val="14"/>
      <name val="ＭＳ Ｐ明朝"/>
      <family val="1"/>
      <charset val="128"/>
    </font>
    <font>
      <sz val="11"/>
      <name val="ＭＳ Ｐ明朝"/>
      <family val="1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Arial"/>
      <family val="2"/>
    </font>
    <font>
      <sz val="10"/>
      <name val="Courier"/>
      <family val="3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indexed="14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ajor"/>
    </font>
    <font>
      <sz val="10"/>
      <color theme="1"/>
      <name val="ＭＳ Ｐゴシック"/>
      <family val="3"/>
      <charset val="128"/>
      <scheme val="major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59">
    <xf numFmtId="0" fontId="0" fillId="0" borderId="0">
      <alignment vertical="center"/>
    </xf>
    <xf numFmtId="9" fontId="5" fillId="0" borderId="0" applyFont="0" applyFill="0" applyBorder="0" applyAlignment="0" applyProtection="0"/>
    <xf numFmtId="0" fontId="6" fillId="0" borderId="0"/>
    <xf numFmtId="0" fontId="7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horizontal="center" wrapText="1"/>
      <protection locked="0"/>
    </xf>
    <xf numFmtId="0" fontId="10" fillId="0" borderId="0" applyNumberFormat="0" applyFill="0" applyBorder="0" applyAlignment="0" applyProtection="0"/>
    <xf numFmtId="181" fontId="11" fillId="0" borderId="0" applyFill="0" applyBorder="0" applyAlignment="0"/>
    <xf numFmtId="191" fontId="51" fillId="0" borderId="0" applyFill="0" applyBorder="0" applyAlignment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38" fontId="13" fillId="16" borderId="0" applyNumberFormat="0" applyBorder="0" applyAlignment="0" applyProtection="0"/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Border="0"/>
    <xf numFmtId="10" fontId="13" fillId="17" borderId="3" applyNumberFormat="0" applyBorder="0" applyAlignment="0" applyProtection="0"/>
    <xf numFmtId="1" fontId="15" fillId="0" borderId="0" applyProtection="0">
      <protection locked="0"/>
    </xf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7" fillId="0" borderId="4" applyNumberFormat="0" applyFont="0" applyFill="0" applyBorder="0" applyAlignment="0">
      <alignment vertical="center"/>
    </xf>
    <xf numFmtId="37" fontId="18" fillId="0" borderId="0"/>
    <xf numFmtId="184" fontId="19" fillId="0" borderId="0"/>
    <xf numFmtId="192" fontId="22" fillId="0" borderId="0"/>
    <xf numFmtId="0" fontId="12" fillId="0" borderId="0"/>
    <xf numFmtId="14" fontId="9" fillId="0" borderId="0">
      <alignment horizontal="center" wrapText="1"/>
      <protection locked="0"/>
    </xf>
    <xf numFmtId="10" fontId="12" fillId="0" borderId="0" applyFont="0" applyFill="0" applyBorder="0" applyAlignment="0" applyProtection="0"/>
    <xf numFmtId="0" fontId="20" fillId="0" borderId="0"/>
    <xf numFmtId="0" fontId="21" fillId="0" borderId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2" borderId="5" applyNumberFormat="0" applyAlignment="0" applyProtection="0">
      <alignment vertical="center"/>
    </xf>
    <xf numFmtId="0" fontId="24" fillId="22" borderId="5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6" applyNumberFormat="0" applyFont="0" applyAlignment="0" applyProtection="0">
      <alignment vertical="center"/>
    </xf>
    <xf numFmtId="0" fontId="1" fillId="24" borderId="6" applyNumberFormat="0" applyFon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56" fillId="8" borderId="8">
      <alignment vertical="center"/>
    </xf>
    <xf numFmtId="0" fontId="29" fillId="25" borderId="9" applyNumberFormat="0" applyAlignment="0" applyProtection="0">
      <alignment vertical="center"/>
    </xf>
    <xf numFmtId="0" fontId="29" fillId="25" borderId="9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38" fontId="26" fillId="0" borderId="0" applyFont="0" applyFill="0" applyBorder="0" applyAlignment="0" applyProtection="0"/>
    <xf numFmtId="188" fontId="15" fillId="0" borderId="0">
      <alignment vertical="center"/>
    </xf>
    <xf numFmtId="189" fontId="15" fillId="0" borderId="0">
      <alignment vertical="center"/>
    </xf>
    <xf numFmtId="0" fontId="31" fillId="0" borderId="0"/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>
      <alignment horizont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25" borderId="14" applyNumberFormat="0" applyAlignment="0" applyProtection="0">
      <alignment vertical="center"/>
    </xf>
    <xf numFmtId="0" fontId="37" fillId="25" borderId="14" applyNumberFormat="0" applyAlignment="0" applyProtection="0">
      <alignment vertical="center"/>
    </xf>
    <xf numFmtId="0" fontId="26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8" fontId="26" fillId="0" borderId="0" applyFont="0" applyFill="0" applyBorder="0" applyAlignment="0" applyProtection="0"/>
    <xf numFmtId="6" fontId="26" fillId="0" borderId="0" applyFont="0" applyFill="0" applyBorder="0" applyAlignment="0" applyProtection="0"/>
    <xf numFmtId="8" fontId="15" fillId="0" borderId="0" applyFont="0" applyFill="0" applyBorder="0" applyAlignment="0" applyProtection="0"/>
    <xf numFmtId="0" fontId="39" fillId="7" borderId="9" applyNumberFormat="0" applyAlignment="0" applyProtection="0">
      <alignment vertical="center"/>
    </xf>
    <xf numFmtId="0" fontId="39" fillId="7" borderId="9" applyNumberFormat="0" applyAlignment="0" applyProtection="0">
      <alignment vertical="center"/>
    </xf>
    <xf numFmtId="0" fontId="40" fillId="0" borderId="0"/>
    <xf numFmtId="0" fontId="58" fillId="0" borderId="0">
      <alignment vertical="center"/>
    </xf>
    <xf numFmtId="0" fontId="55" fillId="0" borderId="0">
      <alignment vertical="center"/>
    </xf>
    <xf numFmtId="0" fontId="17" fillId="0" borderId="0">
      <alignment vertical="center"/>
    </xf>
    <xf numFmtId="0" fontId="26" fillId="0" borderId="0">
      <alignment vertical="center"/>
    </xf>
    <xf numFmtId="0" fontId="26" fillId="0" borderId="0"/>
    <xf numFmtId="0" fontId="17" fillId="0" borderId="0">
      <alignment vertical="center"/>
    </xf>
    <xf numFmtId="0" fontId="7" fillId="0" borderId="0">
      <alignment vertical="center"/>
    </xf>
    <xf numFmtId="0" fontId="26" fillId="0" borderId="0"/>
    <xf numFmtId="0" fontId="1" fillId="0" borderId="0">
      <alignment vertical="center"/>
    </xf>
    <xf numFmtId="0" fontId="26" fillId="0" borderId="0">
      <alignment vertical="center"/>
    </xf>
    <xf numFmtId="0" fontId="26" fillId="0" borderId="0"/>
    <xf numFmtId="0" fontId="58" fillId="0" borderId="0">
      <alignment vertical="center"/>
    </xf>
    <xf numFmtId="0" fontId="26" fillId="0" borderId="0"/>
    <xf numFmtId="0" fontId="58" fillId="0" borderId="0">
      <alignment vertical="center"/>
    </xf>
    <xf numFmtId="0" fontId="26" fillId="0" borderId="0"/>
    <xf numFmtId="0" fontId="58" fillId="0" borderId="0">
      <alignment vertical="center"/>
    </xf>
    <xf numFmtId="0" fontId="26" fillId="0" borderId="0">
      <alignment vertical="center"/>
    </xf>
    <xf numFmtId="0" fontId="19" fillId="0" borderId="0"/>
    <xf numFmtId="0" fontId="41" fillId="0" borderId="0"/>
    <xf numFmtId="193" fontId="52" fillId="0" borderId="0"/>
    <xf numFmtId="190" fontId="42" fillId="0" borderId="0" applyFont="0" applyFill="0" applyBorder="0" applyAlignment="0" applyProtection="0"/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</cellStyleXfs>
  <cellXfs count="185">
    <xf numFmtId="0" fontId="0" fillId="0" borderId="0" xfId="0">
      <alignment vertical="center"/>
    </xf>
    <xf numFmtId="31" fontId="0" fillId="26" borderId="3" xfId="0" applyNumberFormat="1" applyFill="1" applyBorder="1" applyAlignment="1">
      <alignment horizontal="center" vertical="center" shrinkToFit="1"/>
    </xf>
    <xf numFmtId="31" fontId="0" fillId="26" borderId="15" xfId="0" applyNumberFormat="1" applyFill="1" applyBorder="1" applyAlignment="1">
      <alignment vertical="center" shrinkToFit="1"/>
    </xf>
    <xf numFmtId="0" fontId="0" fillId="26" borderId="16" xfId="0" applyFill="1" applyBorder="1">
      <alignment vertical="center"/>
    </xf>
    <xf numFmtId="0" fontId="0" fillId="26" borderId="0" xfId="0" applyFill="1">
      <alignment vertical="center"/>
    </xf>
    <xf numFmtId="0" fontId="0" fillId="26" borderId="3" xfId="0" applyFill="1" applyBorder="1" applyAlignment="1">
      <alignment horizontal="center" vertical="center" shrinkToFit="1"/>
    </xf>
    <xf numFmtId="0" fontId="0" fillId="26" borderId="2" xfId="0" applyFill="1" applyBorder="1">
      <alignment vertical="center"/>
    </xf>
    <xf numFmtId="0" fontId="0" fillId="26" borderId="17" xfId="0" applyFill="1" applyBorder="1">
      <alignment vertical="center"/>
    </xf>
    <xf numFmtId="0" fontId="0" fillId="26" borderId="18" xfId="0" applyFill="1" applyBorder="1">
      <alignment vertical="center"/>
    </xf>
    <xf numFmtId="176" fontId="4" fillId="26" borderId="2" xfId="0" applyNumberFormat="1" applyFont="1" applyFill="1" applyBorder="1" applyAlignment="1">
      <alignment vertical="center" shrinkToFit="1"/>
    </xf>
    <xf numFmtId="0" fontId="4" fillId="26" borderId="2" xfId="0" applyFont="1" applyFill="1" applyBorder="1" applyAlignment="1">
      <alignment vertical="center" shrinkToFit="1"/>
    </xf>
    <xf numFmtId="0" fontId="0" fillId="27" borderId="3" xfId="0" applyFill="1" applyBorder="1" applyAlignment="1">
      <alignment horizontal="center" vertical="center" shrinkToFit="1"/>
    </xf>
    <xf numFmtId="177" fontId="4" fillId="26" borderId="3" xfId="0" applyNumberFormat="1" applyFont="1" applyFill="1" applyBorder="1" applyAlignment="1">
      <alignment horizontal="center" vertical="center" shrinkToFit="1"/>
    </xf>
    <xf numFmtId="0" fontId="0" fillId="27" borderId="19" xfId="0" applyFill="1" applyBorder="1" applyAlignment="1">
      <alignment horizontal="center" vertical="center" shrinkToFit="1"/>
    </xf>
    <xf numFmtId="0" fontId="0" fillId="27" borderId="20" xfId="0" applyFill="1" applyBorder="1" applyAlignment="1">
      <alignment horizontal="center" vertical="center" shrinkToFit="1"/>
    </xf>
    <xf numFmtId="0" fontId="0" fillId="32" borderId="21" xfId="0" applyFill="1" applyBorder="1" applyAlignment="1">
      <alignment horizontal="center" vertical="center" shrinkToFit="1"/>
    </xf>
    <xf numFmtId="0" fontId="0" fillId="28" borderId="19" xfId="0" applyFill="1" applyBorder="1" applyAlignment="1">
      <alignment horizontal="center" vertical="center" shrinkToFit="1"/>
    </xf>
    <xf numFmtId="0" fontId="0" fillId="28" borderId="20" xfId="0" applyFill="1" applyBorder="1" applyAlignment="1">
      <alignment horizontal="center" vertical="center" shrinkToFit="1"/>
    </xf>
    <xf numFmtId="0" fontId="0" fillId="32" borderId="22" xfId="0" applyFill="1" applyBorder="1" applyAlignment="1">
      <alignment horizontal="center" vertical="center" shrinkToFit="1"/>
    </xf>
    <xf numFmtId="0" fontId="0" fillId="27" borderId="23" xfId="0" applyFill="1" applyBorder="1" applyAlignment="1">
      <alignment horizontal="center" vertical="center" shrinkToFit="1"/>
    </xf>
    <xf numFmtId="0" fontId="4" fillId="26" borderId="23" xfId="0" applyFont="1" applyFill="1" applyBorder="1" applyAlignment="1">
      <alignment horizontal="center" vertical="center" shrinkToFit="1"/>
    </xf>
    <xf numFmtId="0" fontId="0" fillId="26" borderId="24" xfId="0" applyFill="1" applyBorder="1">
      <alignment vertical="center"/>
    </xf>
    <xf numFmtId="0" fontId="0" fillId="26" borderId="3" xfId="0" applyFill="1" applyBorder="1">
      <alignment vertical="center"/>
    </xf>
    <xf numFmtId="178" fontId="4" fillId="26" borderId="17" xfId="0" applyNumberFormat="1" applyFont="1" applyFill="1" applyBorder="1" applyAlignment="1">
      <alignment horizontal="center" vertical="center" shrinkToFit="1"/>
    </xf>
    <xf numFmtId="178" fontId="4" fillId="26" borderId="25" xfId="0" applyNumberFormat="1" applyFont="1" applyFill="1" applyBorder="1" applyAlignment="1">
      <alignment horizontal="center" vertical="center" shrinkToFit="1"/>
    </xf>
    <xf numFmtId="0" fontId="4" fillId="26" borderId="2" xfId="0" applyNumberFormat="1" applyFont="1" applyFill="1" applyBorder="1" applyAlignment="1">
      <alignment horizontal="center" vertical="center" shrinkToFit="1"/>
    </xf>
    <xf numFmtId="0" fontId="4" fillId="26" borderId="26" xfId="0" applyNumberFormat="1" applyFont="1" applyFill="1" applyBorder="1" applyAlignment="1">
      <alignment horizontal="center" vertical="center" shrinkToFit="1"/>
    </xf>
    <xf numFmtId="179" fontId="0" fillId="26" borderId="3" xfId="0" applyNumberFormat="1" applyFill="1" applyBorder="1" applyAlignment="1">
      <alignment horizontal="right" vertical="center"/>
    </xf>
    <xf numFmtId="180" fontId="0" fillId="26" borderId="3" xfId="0" applyNumberFormat="1" applyFill="1" applyBorder="1" applyAlignment="1">
      <alignment horizontal="center" vertical="center"/>
    </xf>
    <xf numFmtId="0" fontId="62" fillId="33" borderId="0" xfId="0" applyFont="1" applyFill="1">
      <alignment vertical="center"/>
    </xf>
    <xf numFmtId="0" fontId="0" fillId="33" borderId="0" xfId="0" applyFill="1">
      <alignment vertical="center"/>
    </xf>
    <xf numFmtId="0" fontId="1" fillId="0" borderId="0" xfId="152" applyFont="1" applyAlignment="1">
      <alignment vertical="center"/>
    </xf>
    <xf numFmtId="0" fontId="63" fillId="33" borderId="0" xfId="0" applyFont="1" applyFill="1">
      <alignment vertical="center"/>
    </xf>
    <xf numFmtId="0" fontId="64" fillId="33" borderId="0" xfId="0" applyFont="1" applyFill="1">
      <alignment vertical="center"/>
    </xf>
    <xf numFmtId="0" fontId="0" fillId="33" borderId="27" xfId="0" applyFill="1" applyBorder="1">
      <alignment vertical="center"/>
    </xf>
    <xf numFmtId="0" fontId="0" fillId="33" borderId="0" xfId="0" applyFill="1" applyBorder="1" applyAlignment="1">
      <alignment vertical="center"/>
    </xf>
    <xf numFmtId="0" fontId="0" fillId="33" borderId="0" xfId="0" applyFill="1" applyBorder="1" applyAlignment="1">
      <alignment vertical="center" wrapText="1"/>
    </xf>
    <xf numFmtId="0" fontId="0" fillId="33" borderId="16" xfId="0" applyFill="1" applyBorder="1" applyAlignment="1">
      <alignment vertical="center"/>
    </xf>
    <xf numFmtId="0" fontId="0" fillId="33" borderId="16" xfId="0" applyFill="1" applyBorder="1" applyAlignment="1">
      <alignment vertical="center" wrapText="1"/>
    </xf>
    <xf numFmtId="0" fontId="0" fillId="33" borderId="28" xfId="0" applyFill="1" applyBorder="1">
      <alignment vertical="center"/>
    </xf>
    <xf numFmtId="0" fontId="0" fillId="33" borderId="29" xfId="0" applyFill="1" applyBorder="1">
      <alignment vertical="center"/>
    </xf>
    <xf numFmtId="0" fontId="0" fillId="33" borderId="30" xfId="0" applyFill="1" applyBorder="1">
      <alignment vertical="center"/>
    </xf>
    <xf numFmtId="0" fontId="0" fillId="33" borderId="0" xfId="0" applyFill="1" applyBorder="1">
      <alignment vertical="center"/>
    </xf>
    <xf numFmtId="0" fontId="0" fillId="33" borderId="31" xfId="0" applyFill="1" applyBorder="1">
      <alignment vertical="center"/>
    </xf>
    <xf numFmtId="0" fontId="0" fillId="33" borderId="15" xfId="0" applyFill="1" applyBorder="1">
      <alignment vertical="center"/>
    </xf>
    <xf numFmtId="0" fontId="0" fillId="33" borderId="16" xfId="0" applyFill="1" applyBorder="1">
      <alignment vertical="center"/>
    </xf>
    <xf numFmtId="0" fontId="0" fillId="33" borderId="32" xfId="0" applyFill="1" applyBorder="1">
      <alignment vertical="center"/>
    </xf>
    <xf numFmtId="0" fontId="0" fillId="34" borderId="26" xfId="0" applyFill="1" applyBorder="1">
      <alignment vertical="center"/>
    </xf>
    <xf numFmtId="0" fontId="0" fillId="34" borderId="2" xfId="0" applyFill="1" applyBorder="1">
      <alignment vertical="center"/>
    </xf>
    <xf numFmtId="0" fontId="65" fillId="33" borderId="0" xfId="0" applyFont="1" applyFill="1">
      <alignment vertical="center"/>
    </xf>
    <xf numFmtId="0" fontId="0" fillId="33" borderId="0" xfId="0" applyFill="1" applyAlignment="1">
      <alignment vertical="center" wrapText="1"/>
    </xf>
    <xf numFmtId="0" fontId="0" fillId="33" borderId="0" xfId="0" applyFill="1" applyAlignment="1">
      <alignment vertical="center"/>
    </xf>
    <xf numFmtId="0" fontId="0" fillId="33" borderId="2" xfId="0" applyFill="1" applyBorder="1" applyAlignment="1">
      <alignment vertical="center"/>
    </xf>
    <xf numFmtId="0" fontId="0" fillId="33" borderId="26" xfId="0" applyFill="1" applyBorder="1" applyAlignment="1">
      <alignment vertical="center"/>
    </xf>
    <xf numFmtId="0" fontId="66" fillId="33" borderId="0" xfId="0" applyFont="1" applyFill="1" applyAlignment="1">
      <alignment vertical="center"/>
    </xf>
    <xf numFmtId="0" fontId="66" fillId="33" borderId="0" xfId="0" applyFont="1" applyFill="1" applyAlignment="1">
      <alignment vertical="center" wrapText="1"/>
    </xf>
    <xf numFmtId="0" fontId="66" fillId="33" borderId="0" xfId="0" applyFont="1" applyFill="1">
      <alignment vertical="center"/>
    </xf>
    <xf numFmtId="0" fontId="66" fillId="34" borderId="33" xfId="0" applyFont="1" applyFill="1" applyBorder="1">
      <alignment vertical="center"/>
    </xf>
    <xf numFmtId="0" fontId="66" fillId="34" borderId="26" xfId="0" applyFont="1" applyFill="1" applyBorder="1">
      <alignment vertical="center"/>
    </xf>
    <xf numFmtId="0" fontId="66" fillId="34" borderId="2" xfId="0" applyFont="1" applyFill="1" applyBorder="1">
      <alignment vertical="center"/>
    </xf>
    <xf numFmtId="0" fontId="66" fillId="33" borderId="33" xfId="0" applyFont="1" applyFill="1" applyBorder="1">
      <alignment vertical="center"/>
    </xf>
    <xf numFmtId="0" fontId="66" fillId="33" borderId="26" xfId="0" applyFont="1" applyFill="1" applyBorder="1">
      <alignment vertical="center"/>
    </xf>
    <xf numFmtId="0" fontId="66" fillId="33" borderId="33" xfId="0" applyFont="1" applyFill="1" applyBorder="1" applyAlignment="1">
      <alignment vertical="center"/>
    </xf>
    <xf numFmtId="0" fontId="66" fillId="33" borderId="2" xfId="0" applyFont="1" applyFill="1" applyBorder="1" applyAlignment="1">
      <alignment vertical="center" wrapText="1"/>
    </xf>
    <xf numFmtId="0" fontId="66" fillId="33" borderId="2" xfId="0" applyFont="1" applyFill="1" applyBorder="1" applyAlignment="1">
      <alignment vertical="center"/>
    </xf>
    <xf numFmtId="0" fontId="66" fillId="33" borderId="26" xfId="0" applyFont="1" applyFill="1" applyBorder="1" applyAlignment="1">
      <alignment vertical="center" wrapText="1"/>
    </xf>
    <xf numFmtId="0" fontId="66" fillId="33" borderId="26" xfId="0" applyFont="1" applyFill="1" applyBorder="1" applyAlignment="1">
      <alignment vertical="center"/>
    </xf>
    <xf numFmtId="0" fontId="66" fillId="33" borderId="0" xfId="0" applyFont="1" applyFill="1" applyBorder="1">
      <alignment vertical="center"/>
    </xf>
    <xf numFmtId="0" fontId="66" fillId="33" borderId="0" xfId="0" applyFont="1" applyFill="1" applyBorder="1" applyAlignment="1">
      <alignment horizontal="left" vertical="center"/>
    </xf>
    <xf numFmtId="0" fontId="66" fillId="33" borderId="0" xfId="0" applyFont="1" applyFill="1" applyAlignment="1">
      <alignment horizontal="right" vertical="center"/>
    </xf>
    <xf numFmtId="0" fontId="67" fillId="33" borderId="0" xfId="0" applyFont="1" applyFill="1">
      <alignment vertical="center"/>
    </xf>
    <xf numFmtId="0" fontId="68" fillId="33" borderId="0" xfId="0" applyFont="1" applyFill="1">
      <alignment vertical="center"/>
    </xf>
    <xf numFmtId="0" fontId="63" fillId="33" borderId="0" xfId="0" applyFont="1" applyFill="1" applyBorder="1" applyAlignment="1">
      <alignment horizontal="center" vertical="center"/>
    </xf>
    <xf numFmtId="0" fontId="48" fillId="0" borderId="0" xfId="152" applyFont="1" applyAlignment="1">
      <alignment horizontal="center" vertical="center"/>
    </xf>
    <xf numFmtId="0" fontId="1" fillId="0" borderId="0" xfId="152" applyFont="1" applyAlignment="1">
      <alignment horizontal="center" vertical="center"/>
    </xf>
    <xf numFmtId="0" fontId="1" fillId="0" borderId="0" xfId="152" applyFont="1" applyAlignment="1">
      <alignment horizontal="right" vertical="center"/>
    </xf>
    <xf numFmtId="0" fontId="46" fillId="0" borderId="0" xfId="152" applyFont="1" applyAlignment="1">
      <alignment horizontal="center" vertical="center"/>
    </xf>
    <xf numFmtId="31" fontId="0" fillId="0" borderId="0" xfId="0" applyNumberFormat="1" applyFill="1" applyBorder="1" applyAlignment="1">
      <alignment horizontal="center" vertical="center" shrinkToFit="1"/>
    </xf>
    <xf numFmtId="31" fontId="0" fillId="0" borderId="0" xfId="0" applyNumberFormat="1" applyFill="1" applyBorder="1" applyAlignment="1">
      <alignment vertical="center" shrinkToFi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 shrinkToFit="1"/>
    </xf>
    <xf numFmtId="0" fontId="61" fillId="26" borderId="0" xfId="0" applyFont="1" applyFill="1">
      <alignment vertical="center"/>
    </xf>
    <xf numFmtId="0" fontId="69" fillId="26" borderId="3" xfId="0" applyFont="1" applyFill="1" applyBorder="1">
      <alignment vertical="center"/>
    </xf>
    <xf numFmtId="0" fontId="0" fillId="26" borderId="3" xfId="0" applyFill="1" applyBorder="1" applyAlignment="1">
      <alignment vertical="center" wrapText="1"/>
    </xf>
    <xf numFmtId="0" fontId="69" fillId="26" borderId="3" xfId="0" applyFont="1" applyFill="1" applyBorder="1" applyAlignment="1">
      <alignment vertical="center" wrapText="1"/>
    </xf>
    <xf numFmtId="0" fontId="69" fillId="26" borderId="3" xfId="0" applyFont="1" applyFill="1" applyBorder="1" applyAlignment="1">
      <alignment vertical="center" shrinkToFit="1"/>
    </xf>
    <xf numFmtId="0" fontId="26" fillId="26" borderId="3" xfId="0" applyFont="1" applyFill="1" applyBorder="1">
      <alignment vertical="center"/>
    </xf>
    <xf numFmtId="0" fontId="70" fillId="26" borderId="3" xfId="0" applyFont="1" applyFill="1" applyBorder="1">
      <alignment vertical="center"/>
    </xf>
    <xf numFmtId="0" fontId="0" fillId="0" borderId="3" xfId="0" applyFill="1" applyBorder="1">
      <alignment vertical="center"/>
    </xf>
    <xf numFmtId="0" fontId="69" fillId="0" borderId="3" xfId="0" applyFont="1" applyFill="1" applyBorder="1">
      <alignment vertical="center"/>
    </xf>
    <xf numFmtId="0" fontId="69" fillId="0" borderId="3" xfId="0" applyFont="1" applyFill="1" applyBorder="1" applyAlignment="1">
      <alignment vertical="center" wrapText="1"/>
    </xf>
    <xf numFmtId="0" fontId="69" fillId="0" borderId="3" xfId="0" applyFont="1" applyFill="1" applyBorder="1" applyAlignment="1">
      <alignment vertical="center" shrinkToFit="1"/>
    </xf>
    <xf numFmtId="0" fontId="0" fillId="0" borderId="0" xfId="0" applyFill="1">
      <alignment vertical="center"/>
    </xf>
    <xf numFmtId="0" fontId="59" fillId="0" borderId="34" xfId="0" applyFont="1" applyFill="1" applyBorder="1" applyAlignment="1">
      <alignment horizontal="left" vertical="center"/>
    </xf>
    <xf numFmtId="0" fontId="59" fillId="0" borderId="15" xfId="0" applyFont="1" applyFill="1" applyBorder="1" applyAlignment="1">
      <alignment horizontal="left" vertical="center"/>
    </xf>
    <xf numFmtId="0" fontId="70" fillId="26" borderId="33" xfId="0" applyFont="1" applyFill="1" applyBorder="1" applyAlignment="1">
      <alignment vertical="center"/>
    </xf>
    <xf numFmtId="0" fontId="69" fillId="26" borderId="26" xfId="0" applyFont="1" applyFill="1" applyBorder="1" applyAlignment="1">
      <alignment vertical="center"/>
    </xf>
    <xf numFmtId="0" fontId="70" fillId="0" borderId="3" xfId="0" applyFont="1" applyFill="1" applyBorder="1">
      <alignment vertical="center"/>
    </xf>
    <xf numFmtId="0" fontId="47" fillId="33" borderId="0" xfId="0" applyFont="1" applyFill="1" applyAlignment="1">
      <alignment vertical="center"/>
    </xf>
    <xf numFmtId="49" fontId="50" fillId="0" borderId="3" xfId="152" applyNumberFormat="1" applyFont="1" applyBorder="1" applyAlignment="1">
      <alignment horizontal="right" vertical="center"/>
    </xf>
    <xf numFmtId="49" fontId="50" fillId="0" borderId="3" xfId="152" applyNumberFormat="1" applyFont="1" applyBorder="1" applyAlignment="1">
      <alignment horizontal="center" vertical="center"/>
    </xf>
    <xf numFmtId="49" fontId="50" fillId="0" borderId="3" xfId="152" applyNumberFormat="1" applyFont="1" applyBorder="1" applyAlignment="1">
      <alignment vertical="center"/>
    </xf>
    <xf numFmtId="49" fontId="50" fillId="0" borderId="3" xfId="152" applyNumberFormat="1" applyFont="1" applyBorder="1" applyAlignment="1">
      <alignment vertical="center" wrapText="1"/>
    </xf>
    <xf numFmtId="0" fontId="50" fillId="0" borderId="3" xfId="152" applyFont="1" applyBorder="1" applyAlignment="1">
      <alignment vertical="center"/>
    </xf>
    <xf numFmtId="49" fontId="50" fillId="0" borderId="3" xfId="152" applyNumberFormat="1" applyFont="1" applyBorder="1" applyAlignment="1">
      <alignment horizontal="right" vertical="center" wrapText="1"/>
    </xf>
    <xf numFmtId="0" fontId="50" fillId="29" borderId="3" xfId="152" applyFont="1" applyFill="1" applyBorder="1" applyAlignment="1">
      <alignment horizontal="center" vertical="center"/>
    </xf>
    <xf numFmtId="0" fontId="0" fillId="26" borderId="3" xfId="0" applyFill="1" applyBorder="1" applyAlignment="1">
      <alignment vertical="center" shrinkToFit="1"/>
    </xf>
    <xf numFmtId="0" fontId="0" fillId="30" borderId="3" xfId="0" applyFill="1" applyBorder="1" applyAlignment="1">
      <alignment horizontal="center" vertical="center" shrinkToFit="1"/>
    </xf>
    <xf numFmtId="0" fontId="0" fillId="26" borderId="0" xfId="0" applyFill="1" applyAlignment="1">
      <alignment vertical="center"/>
    </xf>
    <xf numFmtId="0" fontId="60" fillId="26" borderId="0" xfId="0" applyFont="1" applyFill="1">
      <alignment vertical="center"/>
    </xf>
    <xf numFmtId="0" fontId="0" fillId="30" borderId="2" xfId="0" applyFill="1" applyBorder="1" applyAlignment="1">
      <alignment horizontal="center" vertical="center" shrinkToFit="1"/>
    </xf>
    <xf numFmtId="0" fontId="0" fillId="26" borderId="33" xfId="0" applyFill="1" applyBorder="1" applyAlignment="1">
      <alignment vertical="center" wrapText="1"/>
    </xf>
    <xf numFmtId="0" fontId="61" fillId="26" borderId="3" xfId="0" applyFont="1" applyFill="1" applyBorder="1" applyAlignment="1">
      <alignment vertical="center" wrapText="1"/>
    </xf>
    <xf numFmtId="0" fontId="0" fillId="31" borderId="35" xfId="0" applyFill="1" applyBorder="1" applyAlignment="1">
      <alignment horizontal="center" vertical="center" shrinkToFit="1"/>
    </xf>
    <xf numFmtId="0" fontId="0" fillId="35" borderId="3" xfId="0" applyFill="1" applyBorder="1">
      <alignment vertical="center"/>
    </xf>
    <xf numFmtId="0" fontId="0" fillId="35" borderId="3" xfId="0" applyFill="1" applyBorder="1" applyAlignment="1">
      <alignment vertical="center" wrapText="1"/>
    </xf>
    <xf numFmtId="0" fontId="0" fillId="35" borderId="3" xfId="0" applyFill="1" applyBorder="1" applyAlignment="1">
      <alignment vertical="center" shrinkToFit="1"/>
    </xf>
    <xf numFmtId="178" fontId="4" fillId="35" borderId="36" xfId="0" applyNumberFormat="1" applyFont="1" applyFill="1" applyBorder="1" applyAlignment="1">
      <alignment horizontal="center" vertical="center" shrinkToFit="1"/>
    </xf>
    <xf numFmtId="178" fontId="4" fillId="35" borderId="37" xfId="0" applyNumberFormat="1" applyFont="1" applyFill="1" applyBorder="1" applyAlignment="1">
      <alignment horizontal="center" vertical="center" shrinkToFit="1"/>
    </xf>
    <xf numFmtId="0" fontId="4" fillId="35" borderId="38" xfId="0" applyNumberFormat="1" applyFont="1" applyFill="1" applyBorder="1" applyAlignment="1">
      <alignment horizontal="center" vertical="center" shrinkToFit="1"/>
    </xf>
    <xf numFmtId="0" fontId="4" fillId="35" borderId="39" xfId="0" applyNumberFormat="1" applyFont="1" applyFill="1" applyBorder="1" applyAlignment="1">
      <alignment horizontal="center" vertical="center" shrinkToFit="1"/>
    </xf>
    <xf numFmtId="179" fontId="0" fillId="35" borderId="24" xfId="0" applyNumberFormat="1" applyFill="1" applyBorder="1" applyAlignment="1">
      <alignment horizontal="right" vertical="center"/>
    </xf>
    <xf numFmtId="180" fontId="0" fillId="35" borderId="24" xfId="0" applyNumberFormat="1" applyFill="1" applyBorder="1" applyAlignment="1">
      <alignment horizontal="center" vertical="center"/>
    </xf>
    <xf numFmtId="0" fontId="0" fillId="35" borderId="24" xfId="0" applyFill="1" applyBorder="1">
      <alignment vertical="center"/>
    </xf>
    <xf numFmtId="178" fontId="4" fillId="35" borderId="17" xfId="0" applyNumberFormat="1" applyFont="1" applyFill="1" applyBorder="1" applyAlignment="1">
      <alignment horizontal="center" vertical="center" shrinkToFit="1"/>
    </xf>
    <xf numFmtId="178" fontId="4" fillId="35" borderId="25" xfId="0" applyNumberFormat="1" applyFont="1" applyFill="1" applyBorder="1" applyAlignment="1">
      <alignment horizontal="center" vertical="center" shrinkToFit="1"/>
    </xf>
    <xf numFmtId="0" fontId="4" fillId="35" borderId="2" xfId="0" applyNumberFormat="1" applyFont="1" applyFill="1" applyBorder="1" applyAlignment="1">
      <alignment horizontal="center" vertical="center" shrinkToFit="1"/>
    </xf>
    <xf numFmtId="0" fontId="4" fillId="35" borderId="26" xfId="0" applyNumberFormat="1" applyFont="1" applyFill="1" applyBorder="1" applyAlignment="1">
      <alignment horizontal="center" vertical="center" shrinkToFit="1"/>
    </xf>
    <xf numFmtId="179" fontId="0" fillId="35" borderId="3" xfId="0" applyNumberFormat="1" applyFill="1" applyBorder="1" applyAlignment="1">
      <alignment horizontal="right" vertical="center"/>
    </xf>
    <xf numFmtId="180" fontId="0" fillId="35" borderId="3" xfId="0" applyNumberFormat="1" applyFill="1" applyBorder="1" applyAlignment="1">
      <alignment horizontal="center" vertical="center"/>
    </xf>
    <xf numFmtId="0" fontId="0" fillId="30" borderId="33" xfId="0" applyFill="1" applyBorder="1" applyAlignment="1">
      <alignment horizontal="center" vertical="center" shrinkToFit="1"/>
    </xf>
    <xf numFmtId="0" fontId="0" fillId="36" borderId="3" xfId="0" applyFill="1" applyBorder="1">
      <alignment vertical="center"/>
    </xf>
    <xf numFmtId="0" fontId="0" fillId="36" borderId="3" xfId="0" applyFill="1" applyBorder="1" applyAlignment="1">
      <alignment vertical="center" wrapText="1"/>
    </xf>
    <xf numFmtId="0" fontId="0" fillId="36" borderId="3" xfId="0" applyFill="1" applyBorder="1" applyAlignment="1">
      <alignment vertical="center" shrinkToFit="1"/>
    </xf>
    <xf numFmtId="178" fontId="4" fillId="36" borderId="17" xfId="0" applyNumberFormat="1" applyFont="1" applyFill="1" applyBorder="1" applyAlignment="1">
      <alignment horizontal="center" vertical="center" shrinkToFit="1"/>
    </xf>
    <xf numFmtId="178" fontId="4" fillId="36" borderId="25" xfId="0" applyNumberFormat="1" applyFont="1" applyFill="1" applyBorder="1" applyAlignment="1">
      <alignment horizontal="center" vertical="center" shrinkToFit="1"/>
    </xf>
    <xf numFmtId="0" fontId="4" fillId="36" borderId="2" xfId="0" applyNumberFormat="1" applyFont="1" applyFill="1" applyBorder="1" applyAlignment="1">
      <alignment horizontal="center" vertical="center" shrinkToFit="1"/>
    </xf>
    <xf numFmtId="0" fontId="4" fillId="36" borderId="26" xfId="0" applyNumberFormat="1" applyFont="1" applyFill="1" applyBorder="1" applyAlignment="1">
      <alignment horizontal="center" vertical="center" shrinkToFit="1"/>
    </xf>
    <xf numFmtId="179" fontId="0" fillId="36" borderId="3" xfId="0" applyNumberFormat="1" applyFill="1" applyBorder="1" applyAlignment="1">
      <alignment horizontal="right" vertical="center"/>
    </xf>
    <xf numFmtId="180" fontId="0" fillId="36" borderId="3" xfId="0" applyNumberFormat="1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 wrapText="1"/>
    </xf>
    <xf numFmtId="0" fontId="0" fillId="26" borderId="33" xfId="0" applyFill="1" applyBorder="1" applyAlignment="1">
      <alignment horizontal="center" vertical="center" wrapText="1"/>
    </xf>
    <xf numFmtId="0" fontId="0" fillId="35" borderId="33" xfId="0" applyFill="1" applyBorder="1" applyAlignment="1">
      <alignment horizontal="center" vertical="center" wrapText="1"/>
    </xf>
    <xf numFmtId="0" fontId="0" fillId="36" borderId="33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shrinkToFit="1"/>
    </xf>
    <xf numFmtId="0" fontId="0" fillId="26" borderId="3" xfId="0" applyFont="1" applyFill="1" applyBorder="1" applyAlignment="1">
      <alignment vertical="center" wrapText="1"/>
    </xf>
    <xf numFmtId="178" fontId="4" fillId="0" borderId="25" xfId="0" applyNumberFormat="1" applyFont="1" applyFill="1" applyBorder="1" applyAlignment="1">
      <alignment horizontal="center" vertical="center" shrinkToFit="1"/>
    </xf>
    <xf numFmtId="0" fontId="0" fillId="26" borderId="2" xfId="0" applyFill="1" applyBorder="1" applyAlignment="1">
      <alignment horizontal="center" vertical="center" shrinkToFit="1"/>
    </xf>
    <xf numFmtId="0" fontId="0" fillId="26" borderId="26" xfId="0" applyFill="1" applyBorder="1" applyAlignment="1">
      <alignment horizontal="center" vertical="center" shrinkToFit="1"/>
    </xf>
    <xf numFmtId="0" fontId="0" fillId="30" borderId="3" xfId="0" applyFill="1" applyBorder="1" applyAlignment="1">
      <alignment horizontal="center" vertical="center" shrinkToFit="1"/>
    </xf>
    <xf numFmtId="0" fontId="0" fillId="27" borderId="35" xfId="0" applyFill="1" applyBorder="1" applyAlignment="1">
      <alignment horizontal="center" vertical="center" shrinkToFit="1"/>
    </xf>
    <xf numFmtId="0" fontId="0" fillId="27" borderId="40" xfId="0" applyFill="1" applyBorder="1" applyAlignment="1">
      <alignment horizontal="center" vertical="center" shrinkToFit="1"/>
    </xf>
    <xf numFmtId="14" fontId="0" fillId="0" borderId="33" xfId="0" applyNumberFormat="1" applyFill="1" applyBorder="1" applyAlignment="1">
      <alignment horizontal="center" vertical="center" shrinkToFit="1"/>
    </xf>
    <xf numFmtId="14" fontId="0" fillId="0" borderId="2" xfId="0" applyNumberFormat="1" applyFill="1" applyBorder="1" applyAlignment="1">
      <alignment horizontal="center" vertical="center" shrinkToFit="1"/>
    </xf>
    <xf numFmtId="14" fontId="0" fillId="0" borderId="26" xfId="0" applyNumberFormat="1" applyFill="1" applyBorder="1" applyAlignment="1">
      <alignment horizontal="center" vertical="center" shrinkToFit="1"/>
    </xf>
    <xf numFmtId="0" fontId="0" fillId="28" borderId="33" xfId="0" applyFill="1" applyBorder="1" applyAlignment="1">
      <alignment horizontal="center" vertical="center" shrinkToFit="1"/>
    </xf>
    <xf numFmtId="0" fontId="0" fillId="28" borderId="2" xfId="0" applyFill="1" applyBorder="1" applyAlignment="1">
      <alignment horizontal="center" vertical="center" shrinkToFit="1"/>
    </xf>
    <xf numFmtId="0" fontId="0" fillId="28" borderId="26" xfId="0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26" xfId="0" applyFill="1" applyBorder="1" applyAlignment="1">
      <alignment horizontal="center" vertical="center" shrinkToFit="1"/>
    </xf>
    <xf numFmtId="0" fontId="0" fillId="26" borderId="33" xfId="0" applyFill="1" applyBorder="1" applyAlignment="1">
      <alignment vertical="center" shrinkToFit="1"/>
    </xf>
    <xf numFmtId="0" fontId="0" fillId="26" borderId="2" xfId="0" applyFill="1" applyBorder="1" applyAlignment="1">
      <alignment vertical="center" shrinkToFit="1"/>
    </xf>
    <xf numFmtId="0" fontId="0" fillId="27" borderId="35" xfId="0" applyFill="1" applyBorder="1" applyAlignment="1">
      <alignment horizontal="center" vertical="center" wrapText="1" shrinkToFit="1"/>
    </xf>
    <xf numFmtId="0" fontId="0" fillId="31" borderId="35" xfId="0" applyFill="1" applyBorder="1" applyAlignment="1">
      <alignment horizontal="center" vertical="center" shrinkToFit="1"/>
    </xf>
    <xf numFmtId="0" fontId="0" fillId="27" borderId="33" xfId="0" applyFill="1" applyBorder="1" applyAlignment="1">
      <alignment horizontal="center" vertical="center" shrinkToFit="1"/>
    </xf>
    <xf numFmtId="0" fontId="0" fillId="27" borderId="2" xfId="0" applyFill="1" applyBorder="1" applyAlignment="1">
      <alignment horizontal="center" vertical="center" shrinkToFit="1"/>
    </xf>
    <xf numFmtId="0" fontId="0" fillId="27" borderId="26" xfId="0" applyFill="1" applyBorder="1" applyAlignment="1">
      <alignment horizontal="center" vertical="center" shrinkToFit="1"/>
    </xf>
    <xf numFmtId="0" fontId="71" fillId="33" borderId="33" xfId="0" applyFont="1" applyFill="1" applyBorder="1" applyAlignment="1">
      <alignment horizontal="center" vertical="center"/>
    </xf>
    <xf numFmtId="0" fontId="71" fillId="33" borderId="2" xfId="0" applyFont="1" applyFill="1" applyBorder="1" applyAlignment="1">
      <alignment horizontal="center" vertical="center"/>
    </xf>
    <xf numFmtId="0" fontId="72" fillId="33" borderId="33" xfId="0" applyFont="1" applyFill="1" applyBorder="1" applyAlignment="1">
      <alignment horizontal="center" vertical="center"/>
    </xf>
    <xf numFmtId="0" fontId="72" fillId="33" borderId="2" xfId="0" applyFont="1" applyFill="1" applyBorder="1" applyAlignment="1">
      <alignment horizontal="center" vertical="center"/>
    </xf>
    <xf numFmtId="0" fontId="72" fillId="33" borderId="26" xfId="0" applyFont="1" applyFill="1" applyBorder="1" applyAlignment="1">
      <alignment horizontal="center" vertical="center"/>
    </xf>
    <xf numFmtId="0" fontId="0" fillId="33" borderId="0" xfId="0" applyFill="1" applyBorder="1" applyAlignment="1">
      <alignment horizontal="left" vertical="center" wrapText="1"/>
    </xf>
    <xf numFmtId="0" fontId="0" fillId="33" borderId="0" xfId="0" applyFill="1" applyBorder="1" applyAlignment="1">
      <alignment horizontal="left" vertical="center"/>
    </xf>
    <xf numFmtId="0" fontId="48" fillId="0" borderId="0" xfId="152" applyFont="1" applyAlignment="1">
      <alignment horizontal="center" vertical="center"/>
    </xf>
    <xf numFmtId="0" fontId="59" fillId="37" borderId="33" xfId="0" applyFont="1" applyFill="1" applyBorder="1" applyAlignment="1">
      <alignment horizontal="left" vertical="center"/>
    </xf>
    <xf numFmtId="0" fontId="59" fillId="37" borderId="2" xfId="0" applyFont="1" applyFill="1" applyBorder="1" applyAlignment="1">
      <alignment horizontal="left" vertical="center"/>
    </xf>
    <xf numFmtId="0" fontId="59" fillId="37" borderId="26" xfId="0" applyFont="1" applyFill="1" applyBorder="1" applyAlignment="1">
      <alignment horizontal="left" vertical="center"/>
    </xf>
    <xf numFmtId="0" fontId="59" fillId="37" borderId="34" xfId="0" applyFont="1" applyFill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0" xfId="0" applyFill="1" applyBorder="1" applyAlignment="1">
      <alignment horizontal="center" vertical="center" shrinkToFit="1"/>
    </xf>
    <xf numFmtId="0" fontId="0" fillId="0" borderId="0" xfId="0" applyFill="1" applyBorder="1" applyAlignment="1">
      <alignment vertical="center" shrinkToFit="1"/>
    </xf>
    <xf numFmtId="0" fontId="0" fillId="27" borderId="35" xfId="0" applyFont="1" applyFill="1" applyBorder="1" applyAlignment="1">
      <alignment horizontal="center" vertical="center" shrinkToFit="1"/>
    </xf>
    <xf numFmtId="0" fontId="0" fillId="27" borderId="40" xfId="0" applyFont="1" applyFill="1" applyBorder="1" applyAlignment="1">
      <alignment horizontal="center" vertical="center" shrinkToFit="1"/>
    </xf>
  </cellXfs>
  <cellStyles count="159">
    <cellStyle name="_x000c_ーセン_x000c_" xfId="1" xr:uid="{9C7ACEA3-B0F4-426C-BC61-2355314E99D4}"/>
    <cellStyle name="W_ûvút[ (2)" xfId="2" xr:uid="{8A5CEC29-97F2-4FDB-8EB5-5E7CE2E5DDD9}"/>
    <cellStyle name="20% - アクセント 1 2" xfId="3" xr:uid="{F170CB9B-EF7F-4C10-86A0-54E07081B2B4}"/>
    <cellStyle name="20% - アクセント 1 2 2" xfId="4" xr:uid="{BADC424C-109E-415B-A645-FDB3DF9FF58E}"/>
    <cellStyle name="20% - アクセント 1 3" xfId="5" xr:uid="{286EF7A6-FD2D-48D3-8F17-FBF9BEF30FBE}"/>
    <cellStyle name="20% - アクセント 2 2" xfId="6" xr:uid="{C49B8C89-C409-4BF7-BD2B-87EEC2D7A6D6}"/>
    <cellStyle name="20% - アクセント 2 2 2" xfId="7" xr:uid="{1DD63D8D-D80B-4651-9DAC-E61C94EF7FBB}"/>
    <cellStyle name="20% - アクセント 2 3" xfId="8" xr:uid="{1F5F3993-7569-4D10-B202-FD894C346A71}"/>
    <cellStyle name="20% - アクセント 3 2" xfId="9" xr:uid="{0D57BBD5-85B1-43C4-A948-E1DC4B313928}"/>
    <cellStyle name="20% - アクセント 3 2 2" xfId="10" xr:uid="{BCB7EC10-C854-4B26-B0D2-FD8724B5DCD5}"/>
    <cellStyle name="20% - アクセント 3 3" xfId="11" xr:uid="{4559B926-969C-4E6D-8791-A0C75D8D5EF6}"/>
    <cellStyle name="20% - アクセント 4 2" xfId="12" xr:uid="{D83362E7-FA5B-416E-AA85-18FA861196B0}"/>
    <cellStyle name="20% - アクセント 4 2 2" xfId="13" xr:uid="{6296B944-FDC5-4CDC-9498-7A200BD6D4E2}"/>
    <cellStyle name="20% - アクセント 4 3" xfId="14" xr:uid="{77B8439F-46FE-4B88-B396-7E99A4D44562}"/>
    <cellStyle name="20% - アクセント 5 2" xfId="15" xr:uid="{2C8CBEB1-6BD1-4303-81C8-41AFCE1857A3}"/>
    <cellStyle name="20% - アクセント 5 2 2" xfId="16" xr:uid="{A5EBF627-E6A3-473B-8AC5-592C2130969B}"/>
    <cellStyle name="20% - アクセント 5 3" xfId="17" xr:uid="{A1D57687-F040-4EB0-8F7C-22555E52B324}"/>
    <cellStyle name="20% - アクセント 6 2" xfId="18" xr:uid="{6CCFE908-6A25-4C1C-9495-8AC7ED3F5446}"/>
    <cellStyle name="20% - アクセント 6 2 2" xfId="19" xr:uid="{FD1FACAE-6BD2-4296-BD63-52CDDEA8E5D0}"/>
    <cellStyle name="20% - アクセント 6 3" xfId="20" xr:uid="{41E352FA-70B8-4261-971E-76A022709F79}"/>
    <cellStyle name="40% - アクセント 1 2" xfId="21" xr:uid="{04610E39-FE4F-4A31-BDCE-1177EFDE1372}"/>
    <cellStyle name="40% - アクセント 1 2 2" xfId="22" xr:uid="{DCAF3B76-A487-4159-8240-02355F07F78E}"/>
    <cellStyle name="40% - アクセント 1 3" xfId="23" xr:uid="{3B897A0C-CF46-4DCD-A594-54631FCF8F29}"/>
    <cellStyle name="40% - アクセント 2 2" xfId="24" xr:uid="{17DCE4E1-CF04-4ECD-8CD6-769E72346F67}"/>
    <cellStyle name="40% - アクセント 2 2 2" xfId="25" xr:uid="{DB7B4B6A-6146-4D07-BE9E-2952C0748A20}"/>
    <cellStyle name="40% - アクセント 2 3" xfId="26" xr:uid="{D75612C8-97AC-4B02-9B75-AEFFDF4B7CC6}"/>
    <cellStyle name="40% - アクセント 3 2" xfId="27" xr:uid="{209951B9-DB98-47CE-8715-658740EA2B0F}"/>
    <cellStyle name="40% - アクセント 3 2 2" xfId="28" xr:uid="{26116A34-9087-4E2B-B8EC-E1DC086A65DF}"/>
    <cellStyle name="40% - アクセント 3 3" xfId="29" xr:uid="{405531EE-5F79-4BFA-AE7B-D883C0B1DEDD}"/>
    <cellStyle name="40% - アクセント 4 2" xfId="30" xr:uid="{004AB882-C5F8-47F2-B293-C4C019578A5B}"/>
    <cellStyle name="40% - アクセント 4 2 2" xfId="31" xr:uid="{2CE6C52B-E3DB-42E2-A58A-5E3790C321B6}"/>
    <cellStyle name="40% - アクセント 4 3" xfId="32" xr:uid="{74A36628-9C32-458F-855F-E272BE3CAC6E}"/>
    <cellStyle name="40% - アクセント 5 2" xfId="33" xr:uid="{E9488F4C-5D44-4BD1-B408-DD7E62684C6E}"/>
    <cellStyle name="40% - アクセント 5 2 2" xfId="34" xr:uid="{2DD66D77-B451-4CBA-845B-35B67A673F98}"/>
    <cellStyle name="40% - アクセント 5 3" xfId="35" xr:uid="{5F9DA3E2-A6F6-43B7-9E28-FC3677A89533}"/>
    <cellStyle name="40% - アクセント 6 2" xfId="36" xr:uid="{499581FF-106B-4A86-ABC7-160388B26CEC}"/>
    <cellStyle name="40% - アクセント 6 2 2" xfId="37" xr:uid="{6FA8DF7C-EF8B-4834-9BA7-0E5A60190028}"/>
    <cellStyle name="40% - アクセント 6 3" xfId="38" xr:uid="{E94CF6D3-B9A3-45BC-A563-1C2A883E4B82}"/>
    <cellStyle name="60% - アクセント 1 2" xfId="39" xr:uid="{7544702B-AC5C-4E56-B011-C9255D9256FD}"/>
    <cellStyle name="60% - アクセント 1 3" xfId="40" xr:uid="{DAA8C2AA-3A2E-496E-8B5B-108212C59C23}"/>
    <cellStyle name="60% - アクセント 2 2" xfId="41" xr:uid="{99FAC005-4D3E-44DF-BA52-3B9E6F52DF30}"/>
    <cellStyle name="60% - アクセント 2 3" xfId="42" xr:uid="{F8628A76-F8EE-43F2-BAD1-4E7CA8463802}"/>
    <cellStyle name="60% - アクセント 3 2" xfId="43" xr:uid="{9C16E05B-0834-4E92-93B8-758A60C960C9}"/>
    <cellStyle name="60% - アクセント 3 3" xfId="44" xr:uid="{6542CA14-7DB7-4EB9-A67A-8505BB82B312}"/>
    <cellStyle name="60% - アクセント 4 2" xfId="45" xr:uid="{3A202281-5E6C-4466-81A6-F9CC4ED5DFDA}"/>
    <cellStyle name="60% - アクセント 4 3" xfId="46" xr:uid="{C7AD6D0B-4C4A-4669-9CE4-4459AB5A1357}"/>
    <cellStyle name="60% - アクセント 5 2" xfId="47" xr:uid="{A2F41E17-4C26-4141-AAAE-94598D739BB7}"/>
    <cellStyle name="60% - アクセント 5 3" xfId="48" xr:uid="{F84111DA-7262-4C44-9D4B-E0431FC0D6F3}"/>
    <cellStyle name="60% - アクセント 6 2" xfId="49" xr:uid="{848F86D4-36E7-421E-BB4E-5DF1D6142479}"/>
    <cellStyle name="60% - アクセント 6 3" xfId="50" xr:uid="{C0126AE0-4EE8-41D4-AFC7-7A92E6577EFE}"/>
    <cellStyle name="args.style" xfId="51" xr:uid="{054398D0-7E39-4099-8469-F6F4F83D762C}"/>
    <cellStyle name="Body" xfId="52" xr:uid="{FD6BEB61-B527-425A-A234-017770F05A2C}"/>
    <cellStyle name="Calc Currency (0)" xfId="53" xr:uid="{27C5999A-0371-4A9F-880D-D40BBA45C9BB}"/>
    <cellStyle name="Calc Currency (0) 2" xfId="54" xr:uid="{88F69181-2FDA-44C3-967F-671B8FEFD34E}"/>
    <cellStyle name="Comma [0]_1995" xfId="55" xr:uid="{2AC5CAC8-A753-40A9-AF3F-07B18F728EF5}"/>
    <cellStyle name="Comma_1995" xfId="56" xr:uid="{1C3541CA-F2CB-440C-8222-5CCBD62CB2A1}"/>
    <cellStyle name="Currency [0]_1995" xfId="57" xr:uid="{85CBC0B3-C7D1-42E4-8F18-2ACF03360A22}"/>
    <cellStyle name="Currency_1995" xfId="58" xr:uid="{12D113D1-CEF6-40AC-BE2C-E836CDD2387C}"/>
    <cellStyle name="Grey" xfId="59" xr:uid="{4AAAC65B-5B2D-443F-98F5-49C69DA01AA9}"/>
    <cellStyle name="Header1" xfId="60" xr:uid="{45BEEC60-4804-4C41-AE51-ED712EB5CA37}"/>
    <cellStyle name="Header2" xfId="61" xr:uid="{01EF07EA-0911-48FC-8522-17D5B2515882}"/>
    <cellStyle name="IBM(401K)" xfId="62" xr:uid="{372B27FC-E4D3-4643-9AFF-5421F0DA8862}"/>
    <cellStyle name="Input [yellow]" xfId="63" xr:uid="{4AD9B26B-851C-461D-A53F-8E19FF83C470}"/>
    <cellStyle name="KWE標準" xfId="64" xr:uid="{668B6DA0-053D-4662-93EA-48F0DE5AB2F2}"/>
    <cellStyle name="Milliers [0]_AR1194" xfId="65" xr:uid="{A7DC9133-B340-4634-B82E-93348A811AC2}"/>
    <cellStyle name="Milliers_AR1194" xfId="66" xr:uid="{9819C475-57F7-4166-BD19-7D80DD1A35A6}"/>
    <cellStyle name="Mon騁aire [0]_AR1194" xfId="67" xr:uid="{434DDF5A-EB13-400B-BDF0-ED54526ADFF0}"/>
    <cellStyle name="Mon騁aire_AR1194" xfId="68" xr:uid="{7BE4A54A-C8BE-4522-A301-84800C6CA0A4}"/>
    <cellStyle name="MyStyle" xfId="69" xr:uid="{408B8B6D-462D-47EC-9B8D-8EC70D53E9A1}"/>
    <cellStyle name="no dec" xfId="70" xr:uid="{2937130F-B649-482F-B86F-C0A88F0DC5AC}"/>
    <cellStyle name="Normal - Style1" xfId="71" xr:uid="{4A66F4D1-AE37-4E0F-B0EA-EAB38FB69C80}"/>
    <cellStyle name="Normal - Style1 2" xfId="72" xr:uid="{9585C78D-656F-43B9-B33C-63481A02908D}"/>
    <cellStyle name="Normal_#18-Internet" xfId="73" xr:uid="{AD08CC59-CBFE-4D60-8D4C-A00F4D490047}"/>
    <cellStyle name="per.style" xfId="74" xr:uid="{0EC3137B-A5A1-4B7A-B824-E0375B93D895}"/>
    <cellStyle name="Percent [2]" xfId="75" xr:uid="{2FE5485E-B0FE-4B06-8FCB-8EB48524E8A5}"/>
    <cellStyle name="style001" xfId="76" xr:uid="{6F7440D5-3E9B-4209-AA9E-9491FCE289B7}"/>
    <cellStyle name="subhead" xfId="77" xr:uid="{DD715FDF-2D64-481F-88A1-747EF6F759B0}"/>
    <cellStyle name="アクセント 1 2" xfId="78" xr:uid="{E4C2E947-8BBB-43E4-9B43-CCF33D277D65}"/>
    <cellStyle name="アクセント 1 3" xfId="79" xr:uid="{9BEF6DA2-BC77-40BA-BEC3-6A5ACE5E7EC0}"/>
    <cellStyle name="アクセント 2 2" xfId="80" xr:uid="{3367B378-C549-4683-9245-525DC2F9990E}"/>
    <cellStyle name="アクセント 2 3" xfId="81" xr:uid="{477F8265-6DFD-47DB-BFAB-6E415E78830B}"/>
    <cellStyle name="アクセント 3 2" xfId="82" xr:uid="{88CED73D-4F83-430D-8368-442571BADD29}"/>
    <cellStyle name="アクセント 3 3" xfId="83" xr:uid="{6DEBE9FB-8903-4DB9-BF91-CEE90255C8F6}"/>
    <cellStyle name="アクセント 4 2" xfId="84" xr:uid="{896C4B9B-603C-4FAD-8B1B-78A8B4D64CB5}"/>
    <cellStyle name="アクセント 4 3" xfId="85" xr:uid="{585087A6-1D86-4624-843C-C3C2CD9407A3}"/>
    <cellStyle name="アクセント 5 2" xfId="86" xr:uid="{7123EC8F-01C9-4819-8D3C-42C725B51E74}"/>
    <cellStyle name="アクセント 5 3" xfId="87" xr:uid="{187CD850-FDB2-4EEB-9295-C8DCF4EA1EA6}"/>
    <cellStyle name="アクセント 6 2" xfId="88" xr:uid="{503232C6-A168-47CF-AC11-CB4C4B364276}"/>
    <cellStyle name="アクセント 6 3" xfId="89" xr:uid="{0429D2EF-919D-4ED7-B2C6-C31041C5E2F7}"/>
    <cellStyle name="スタイル 1" xfId="90" xr:uid="{CEB7A397-54B4-491D-AE37-FFB765F22F2B}"/>
    <cellStyle name="タイトル 2" xfId="91" xr:uid="{A8904C22-E684-40E9-9273-729F80532DF1}"/>
    <cellStyle name="タイトル 3" xfId="92" xr:uid="{FBB13A1A-6989-4986-B9DA-080F9FC1C9D5}"/>
    <cellStyle name="チェック セル 2" xfId="93" xr:uid="{B5890C00-818A-42F7-A959-5E1B6F67C9F1}"/>
    <cellStyle name="チェック セル 3" xfId="94" xr:uid="{6161305B-9A7D-4B54-B5DC-B9695690B73C}"/>
    <cellStyle name="どちらでもない 2" xfId="95" xr:uid="{C02BDC35-808C-40A6-A693-23C57A803688}"/>
    <cellStyle name="どちらでもない 3" xfId="96" xr:uid="{0AB15DD3-2EA1-41C1-9CBC-721D56692287}"/>
    <cellStyle name="メモ 2" xfId="97" xr:uid="{FFABF17C-149F-4D81-B36E-D441D188AAEE}"/>
    <cellStyle name="メモ 3" xfId="98" xr:uid="{F431BE94-20B5-43BC-811B-3C8726B624F6}"/>
    <cellStyle name="リンク セル 2" xfId="99" xr:uid="{C891C066-21A6-46A3-8802-2B7E27BF5858}"/>
    <cellStyle name="リンク セル 3" xfId="100" xr:uid="{8F50DC2B-2E01-4E09-9F75-AC704E6EFB0A}"/>
    <cellStyle name="悪い 2" xfId="101" xr:uid="{A80BEFF3-E747-40B1-BFD0-D4D138CD9281}"/>
    <cellStyle name="悪い 3" xfId="102" xr:uid="{673ADF37-5DA6-4652-BFF0-C3BFEDA62965}"/>
    <cellStyle name="一覧表書式_タイトル" xfId="103" xr:uid="{FEE5EFAA-EA9F-48F6-B3D0-71D14ED187FB}"/>
    <cellStyle name="計算 2" xfId="104" xr:uid="{B962D999-02CF-4E70-9011-EF45ECC56048}"/>
    <cellStyle name="計算 3" xfId="105" xr:uid="{15444EBB-1497-4BF4-9E4E-8E20A614EC7C}"/>
    <cellStyle name="警告文 2" xfId="106" xr:uid="{904FE68E-B499-46C6-858E-9C4B302B2D72}"/>
    <cellStyle name="警告文 3" xfId="107" xr:uid="{DBB42AD9-CE39-48D0-AC01-0D99DBAFE239}"/>
    <cellStyle name="桁蟻唇Ｆ [0.00]_5月AT°A " xfId="108" xr:uid="{763CD766-EE35-4CC8-AD32-3194CB127512}"/>
    <cellStyle name="桁蟻唇Ｆ_5月AT°A " xfId="109" xr:uid="{9A4E3C4B-E06E-48CC-9819-797CA02C8463}"/>
    <cellStyle name="桁区切り 2" xfId="110" xr:uid="{A5090DC3-9C0E-4F06-9821-25E0B58CD22F}"/>
    <cellStyle name="桁区切りﾌﾟﾗﾏｲ" xfId="111" xr:uid="{CA6BE13A-49DC-4317-B5FE-995C427CA6F1}"/>
    <cellStyle name="桁区切り括弧付き" xfId="112" xr:uid="{F8666DCE-7AA9-4031-A60E-1B784F5AAD96}"/>
    <cellStyle name="見出し" xfId="113" xr:uid="{0A15AF4E-FB4E-4FAA-BD9D-EC2774AA3F82}"/>
    <cellStyle name="見出し 1 2" xfId="114" xr:uid="{ABE26C22-2323-4EEE-A11D-A012C33EAFE9}"/>
    <cellStyle name="見出し 1 3" xfId="115" xr:uid="{AA785D46-215C-40F2-987A-FDCBEF0E93C8}"/>
    <cellStyle name="見出し 2 2" xfId="116" xr:uid="{EAF45CAF-3D40-4051-B061-79608840A79F}"/>
    <cellStyle name="見出し 2 3" xfId="117" xr:uid="{80B7AD0C-C9FC-44E4-AF8D-DB7F0440A16A}"/>
    <cellStyle name="見出し 3 2" xfId="118" xr:uid="{01BF7677-4DBE-4882-8D28-17BC3EAF09D1}"/>
    <cellStyle name="見出し 3 3" xfId="119" xr:uid="{B87F182B-DA84-4891-8359-9D020760910D}"/>
    <cellStyle name="見出し 4 2" xfId="120" xr:uid="{AFBE01D1-6CF1-435A-A0DC-C90CFCAF72F2}"/>
    <cellStyle name="見出し 4 3" xfId="121" xr:uid="{54B7C563-DCEE-4826-B7E9-45284A913DF5}"/>
    <cellStyle name="見出し2" xfId="122" xr:uid="{B3CA3DBD-AB29-4936-B47C-A1EAB1A684C1}"/>
    <cellStyle name="集計 2" xfId="123" xr:uid="{1E6576F1-71D6-43F1-B54D-EA54A1FEF0FE}"/>
    <cellStyle name="集計 3" xfId="124" xr:uid="{73AC940F-E191-4B7E-A6BA-9FAB16DA5CD9}"/>
    <cellStyle name="出力 2" xfId="125" xr:uid="{C94809AE-5B5B-4C76-95F0-CB583463E026}"/>
    <cellStyle name="出力 3" xfId="126" xr:uid="{D1AFE9B1-BF16-4C4D-AFEA-9EA1496F2566}"/>
    <cellStyle name="常规_テーブル定義書" xfId="127" xr:uid="{BD9BD5E6-1524-46AC-A828-37D3C1B45C78}"/>
    <cellStyle name="説明文 2" xfId="128" xr:uid="{B64FA29E-20EE-4A0F-988E-2F79322CBFAF}"/>
    <cellStyle name="説明文 3" xfId="129" xr:uid="{754BBDBA-F230-46B0-9264-2CE5791478C0}"/>
    <cellStyle name="脱浦 [0.00]_??ANA?A不喫合" xfId="130" xr:uid="{E87312B2-2016-4B21-9F67-6C792EDDCC03}"/>
    <cellStyle name="脱浦_??ANA?A不喫合" xfId="131" xr:uid="{4D07F67E-4DBA-4EF6-A256-45324776552E}"/>
    <cellStyle name="通貨 [0.00" xfId="132" xr:uid="{ED1366DF-48B6-4823-B06E-61FCBEB29323}"/>
    <cellStyle name="入力 2" xfId="133" xr:uid="{DE6EE3EC-DA75-475D-BC77-3F94F9771FAC}"/>
    <cellStyle name="入力 3" xfId="134" xr:uid="{33B9B0EC-4AC6-4628-B9D2-3717964AEBAE}"/>
    <cellStyle name="標?_outline1" xfId="135" xr:uid="{04B217E8-FB97-4E87-A7E6-79161A133CED}"/>
    <cellStyle name="標準" xfId="0" builtinId="0"/>
    <cellStyle name="標準 10" xfId="136" xr:uid="{0698AA1C-E4E0-4D62-97B5-DDF8106AA150}"/>
    <cellStyle name="標準 11" xfId="137" xr:uid="{A58CD7A0-6A21-4E8A-93B9-22BA82EE4A8B}"/>
    <cellStyle name="標準 2" xfId="138" xr:uid="{FFFD8504-D733-4A39-9FB5-F9FF004C69BE}"/>
    <cellStyle name="標準 2 2" xfId="139" xr:uid="{165253F4-AB16-482D-B7A5-EA83F8A28ED2}"/>
    <cellStyle name="標準 3" xfId="140" xr:uid="{8B5F2603-B867-4FB4-8387-65CA792393D6}"/>
    <cellStyle name="標準 3 2" xfId="141" xr:uid="{3EAFB78B-20D4-4D14-8269-3FB08358C74E}"/>
    <cellStyle name="標準 4" xfId="142" xr:uid="{DAC53CD8-9906-4BBA-883D-970D36CDF5EF}"/>
    <cellStyle name="標準 4 2" xfId="143" xr:uid="{85C305E3-52B8-46D8-83E6-4437C7465B23}"/>
    <cellStyle name="標準 4 3" xfId="144" xr:uid="{96659573-39F4-40D5-AE7B-513FF10697D2}"/>
    <cellStyle name="標準 5" xfId="145" xr:uid="{7F3410FB-F331-4FF3-9380-532A9A3AC397}"/>
    <cellStyle name="標準 6" xfId="146" xr:uid="{37933255-E472-4CAD-B36D-0469BF7D1257}"/>
    <cellStyle name="標準 7" xfId="147" xr:uid="{C1B2250B-9D1B-4EB5-A781-198AC161EFBC}"/>
    <cellStyle name="標準 7 2" xfId="148" xr:uid="{C6D80457-E688-45A2-96DA-C2AA0F0DD5A0}"/>
    <cellStyle name="標準 8" xfId="149" xr:uid="{0D961379-5BF3-4139-9F5A-F1C5C42A75B2}"/>
    <cellStyle name="標準 8 2" xfId="150" xr:uid="{ED469AA5-81AF-4D5A-A159-1805D9165FF2}"/>
    <cellStyle name="標準 9" xfId="151" xr:uid="{7B002903-9744-45A3-8AF1-3FEB1C9C9707}"/>
    <cellStyle name="標準_保守管理台帳(雛形)_ver1.00_00.インターフェース設計書_ver0.01" xfId="152" xr:uid="{B4A102D0-2C1F-4CC9-82DE-7B19DC3C7195}"/>
    <cellStyle name="標準１" xfId="153" xr:uid="{BF5F112C-5AB4-4462-909A-DD42A43FB125}"/>
    <cellStyle name="未定義" xfId="154" xr:uid="{0FA35D0D-F654-4AF3-BEA6-B4A22D879D6F}"/>
    <cellStyle name="未定義 2" xfId="155" xr:uid="{4DC878B0-005E-4442-ACD2-DC58767397C8}"/>
    <cellStyle name="無" xfId="156" xr:uid="{6DCE36B9-3C00-4CC5-B954-3E74CCF80D11}"/>
    <cellStyle name="良い 2" xfId="157" xr:uid="{7423505F-6317-4BBC-B6ED-5DCFAE18AB66}"/>
    <cellStyle name="良い 3" xfId="158" xr:uid="{EECAC572-E6B2-438E-BE77-521716BDFD2E}"/>
  </cellStyles>
  <dxfs count="8">
    <dxf>
      <fill>
        <patternFill patternType="lightUp">
          <bgColor indexed="15"/>
        </patternFill>
      </fill>
    </dxf>
    <dxf>
      <font>
        <condense val="0"/>
        <extend val="0"/>
        <color indexed="9"/>
      </font>
      <fill>
        <patternFill>
          <bgColor indexed="45"/>
        </patternFill>
      </fill>
    </dxf>
    <dxf>
      <font>
        <color rgb="FFFFFF00"/>
      </font>
      <fill>
        <patternFill>
          <bgColor rgb="FFFF0000"/>
        </patternFill>
      </fill>
    </dxf>
    <dxf>
      <font>
        <condense val="0"/>
        <extend val="0"/>
        <color indexed="9"/>
      </font>
      <fill>
        <patternFill>
          <bgColor indexed="45"/>
        </patternFill>
      </fill>
    </dxf>
    <dxf>
      <fill>
        <patternFill patternType="lightUp">
          <bgColor indexed="15"/>
        </patternFill>
      </fill>
    </dxf>
    <dxf>
      <font>
        <condense val="0"/>
        <extend val="0"/>
        <color indexed="9"/>
      </font>
      <fill>
        <patternFill>
          <bgColor indexed="45"/>
        </patternFill>
      </fill>
    </dxf>
    <dxf>
      <font>
        <color rgb="FFFFFF00"/>
      </font>
      <fill>
        <patternFill>
          <bgColor rgb="FFFF0000"/>
        </patternFill>
      </fill>
    </dxf>
    <dxf>
      <font>
        <condense val="0"/>
        <extend val="0"/>
        <color indexed="9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7</xdr:row>
          <xdr:rowOff>68580</xdr:rowOff>
        </xdr:from>
        <xdr:to>
          <xdr:col>7</xdr:col>
          <xdr:colOff>45720</xdr:colOff>
          <xdr:row>8</xdr:row>
          <xdr:rowOff>99060</xdr:rowOff>
        </xdr:to>
        <xdr:sp macro="" textlink="">
          <xdr:nvSpPr>
            <xdr:cNvPr id="31745" name="Button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36261C82-9A55-A3F6-9EEC-862A8A4798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167640</xdr:colOff>
          <xdr:row>7</xdr:row>
          <xdr:rowOff>68580</xdr:rowOff>
        </xdr:from>
        <xdr:to>
          <xdr:col>7</xdr:col>
          <xdr:colOff>1021080</xdr:colOff>
          <xdr:row>8</xdr:row>
          <xdr:rowOff>91440</xdr:rowOff>
        </xdr:to>
        <xdr:sp macro="" textlink="">
          <xdr:nvSpPr>
            <xdr:cNvPr id="31746" name="CheckBox_Thunder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6F9A8D23-662F-1C03-4EEB-096D442496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稲妻線描画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340995</xdr:colOff>
      <xdr:row>0</xdr:row>
      <xdr:rowOff>11430</xdr:rowOff>
    </xdr:from>
    <xdr:ext cx="954182" cy="172573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A8F45E5-5B9E-5CCF-5730-D1D01649F5E1}"/>
            </a:ext>
          </a:extLst>
        </xdr:cNvPr>
        <xdr:cNvSpPr txBox="1"/>
      </xdr:nvSpPr>
      <xdr:spPr>
        <a:xfrm>
          <a:off x="12258675" y="19050"/>
          <a:ext cx="971146" cy="161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t">
          <a:noAutofit/>
        </a:bodyPr>
        <a:lstStyle/>
        <a:p>
          <a:r>
            <a:rPr kumimoji="1" lang="ja-JP" altLang="en-US" sz="800"/>
            <a:t>テンプレート</a:t>
          </a:r>
          <a:r>
            <a:rPr kumimoji="1" lang="en-US" altLang="ja-JP" sz="800"/>
            <a:t>ver.433</a:t>
          </a:r>
        </a:p>
      </xdr:txBody>
    </xdr:sp>
    <xdr:clientData fPrintsWithSheet="0"/>
  </xdr:oneCellAnchor>
  <xdr:twoCellAnchor editAs="oneCell">
    <xdr:from>
      <xdr:col>18</xdr:col>
      <xdr:colOff>49530</xdr:colOff>
      <xdr:row>0</xdr:row>
      <xdr:rowOff>68036</xdr:rowOff>
    </xdr:from>
    <xdr:to>
      <xdr:col>45</xdr:col>
      <xdr:colOff>134437</xdr:colOff>
      <xdr:row>3</xdr:row>
      <xdr:rowOff>136072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7D4D671-0BCD-E1B3-6DD9-AAF143923913}"/>
            </a:ext>
          </a:extLst>
        </xdr:cNvPr>
        <xdr:cNvSpPr/>
      </xdr:nvSpPr>
      <xdr:spPr bwMode="auto">
        <a:xfrm>
          <a:off x="10453007" y="68036"/>
          <a:ext cx="4868636" cy="42182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18</xdr:col>
      <xdr:colOff>152400</xdr:colOff>
      <xdr:row>0</xdr:row>
      <xdr:rowOff>152400</xdr:rowOff>
    </xdr:from>
    <xdr:to>
      <xdr:col>23</xdr:col>
      <xdr:colOff>83820</xdr:colOff>
      <xdr:row>3</xdr:row>
      <xdr:rowOff>53340</xdr:rowOff>
    </xdr:to>
    <xdr:pic>
      <xdr:nvPicPr>
        <xdr:cNvPr id="39530" name="図 15">
          <a:extLst>
            <a:ext uri="{FF2B5EF4-FFF2-40B4-BE49-F238E27FC236}">
              <a16:creationId xmlns:a16="http://schemas.microsoft.com/office/drawing/2014/main" id="{FD4684B1-1C2D-771A-2E55-B9306F4B0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9320" y="152400"/>
          <a:ext cx="6934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122817</xdr:colOff>
      <xdr:row>1</xdr:row>
      <xdr:rowOff>7451</xdr:rowOff>
    </xdr:from>
    <xdr:to>
      <xdr:col>32</xdr:col>
      <xdr:colOff>51947</xdr:colOff>
      <xdr:row>3</xdr:row>
      <xdr:rowOff>22419</xdr:rowOff>
    </xdr:to>
    <xdr:sp macro="" textlink="">
      <xdr:nvSpPr>
        <xdr:cNvPr id="9" name="ProgressBar">
          <a:extLst>
            <a:ext uri="{FF2B5EF4-FFF2-40B4-BE49-F238E27FC236}">
              <a16:creationId xmlns:a16="http://schemas.microsoft.com/office/drawing/2014/main" id="{647907DB-A82C-B09A-B629-0DAA1728F955}"/>
            </a:ext>
          </a:extLst>
        </xdr:cNvPr>
        <xdr:cNvSpPr/>
      </xdr:nvSpPr>
      <xdr:spPr bwMode="auto">
        <a:xfrm>
          <a:off x="12125950" y="170737"/>
          <a:ext cx="805999" cy="205468"/>
        </a:xfrm>
        <a:prstGeom prst="rect">
          <a:avLst/>
        </a:prstGeom>
        <a:solidFill>
          <a:srgbClr val="0DF90D">
            <a:alpha val="60000"/>
          </a:srgbClr>
        </a:solidFill>
        <a:ln w="6350">
          <a:solidFill>
            <a:srgbClr val="28282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35</xdr:col>
      <xdr:colOff>126594</xdr:colOff>
      <xdr:row>1</xdr:row>
      <xdr:rowOff>73478</xdr:rowOff>
    </xdr:from>
    <xdr:to>
      <xdr:col>40</xdr:col>
      <xdr:colOff>55724</xdr:colOff>
      <xdr:row>1</xdr:row>
      <xdr:rowOff>154198</xdr:rowOff>
    </xdr:to>
    <xdr:sp macro="" textlink="">
      <xdr:nvSpPr>
        <xdr:cNvPr id="10" name="WorkDayBar">
          <a:extLst>
            <a:ext uri="{FF2B5EF4-FFF2-40B4-BE49-F238E27FC236}">
              <a16:creationId xmlns:a16="http://schemas.microsoft.com/office/drawing/2014/main" id="{7E3A8DB6-544C-75AF-D1DB-C174CFD7F704}"/>
            </a:ext>
          </a:extLst>
        </xdr:cNvPr>
        <xdr:cNvSpPr/>
      </xdr:nvSpPr>
      <xdr:spPr bwMode="auto">
        <a:xfrm>
          <a:off x="13544870" y="250371"/>
          <a:ext cx="805999" cy="88058"/>
        </a:xfrm>
        <a:prstGeom prst="rect">
          <a:avLst/>
        </a:prstGeom>
        <a:solidFill>
          <a:srgbClr val="5000C8">
            <a:alpha val="80000"/>
          </a:srgbClr>
        </a:solidFill>
        <a:ln w="6350">
          <a:solidFill>
            <a:srgbClr val="28282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23</xdr:col>
      <xdr:colOff>21716</xdr:colOff>
      <xdr:row>0</xdr:row>
      <xdr:rowOff>156547</xdr:rowOff>
    </xdr:from>
    <xdr:to>
      <xdr:col>27</xdr:col>
      <xdr:colOff>73228</xdr:colOff>
      <xdr:row>3</xdr:row>
      <xdr:rowOff>86502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F2EDA71-BB98-8D45-DEBC-D54A45BCC473}"/>
            </a:ext>
          </a:extLst>
        </xdr:cNvPr>
        <xdr:cNvSpPr txBox="1"/>
      </xdr:nvSpPr>
      <xdr:spPr bwMode="auto">
        <a:xfrm>
          <a:off x="11309657" y="156547"/>
          <a:ext cx="766683" cy="2837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予定期間</a:t>
          </a:r>
        </a:p>
      </xdr:txBody>
    </xdr:sp>
    <xdr:clientData/>
  </xdr:twoCellAnchor>
  <xdr:twoCellAnchor editAs="oneCell">
    <xdr:from>
      <xdr:col>32</xdr:col>
      <xdr:colOff>20981</xdr:colOff>
      <xdr:row>0</xdr:row>
      <xdr:rowOff>152853</xdr:rowOff>
    </xdr:from>
    <xdr:to>
      <xdr:col>35</xdr:col>
      <xdr:colOff>72466</xdr:colOff>
      <xdr:row>3</xdr:row>
      <xdr:rowOff>92593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191B6B80-DCCA-D0B0-D35C-C858289BFA9D}"/>
            </a:ext>
          </a:extLst>
        </xdr:cNvPr>
        <xdr:cNvSpPr txBox="1"/>
      </xdr:nvSpPr>
      <xdr:spPr bwMode="auto">
        <a:xfrm>
          <a:off x="12900958" y="152853"/>
          <a:ext cx="589756" cy="2935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進捗率</a:t>
          </a:r>
        </a:p>
      </xdr:txBody>
    </xdr:sp>
    <xdr:clientData/>
  </xdr:twoCellAnchor>
  <xdr:twoCellAnchor editAs="oneCell">
    <xdr:from>
      <xdr:col>40</xdr:col>
      <xdr:colOff>51203</xdr:colOff>
      <xdr:row>0</xdr:row>
      <xdr:rowOff>152529</xdr:rowOff>
    </xdr:from>
    <xdr:to>
      <xdr:col>44</xdr:col>
      <xdr:colOff>70998</xdr:colOff>
      <xdr:row>3</xdr:row>
      <xdr:rowOff>82484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F3F85D56-FC4A-BDA3-640D-DB943D4F8BD9}"/>
            </a:ext>
          </a:extLst>
        </xdr:cNvPr>
        <xdr:cNvSpPr txBox="1"/>
      </xdr:nvSpPr>
      <xdr:spPr bwMode="auto">
        <a:xfrm>
          <a:off x="14346323" y="152529"/>
          <a:ext cx="727366" cy="2837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作業期間</a:t>
          </a:r>
        </a:p>
      </xdr:txBody>
    </xdr:sp>
    <xdr:clientData/>
  </xdr:twoCellAnchor>
  <xdr:twoCellAnchor>
    <xdr:from>
      <xdr:col>19</xdr:col>
      <xdr:colOff>0</xdr:colOff>
      <xdr:row>12</xdr:row>
      <xdr:rowOff>0</xdr:rowOff>
    </xdr:from>
    <xdr:to>
      <xdr:col>20</xdr:col>
      <xdr:colOff>0</xdr:colOff>
      <xdr:row>169</xdr:row>
      <xdr:rowOff>1</xdr:rowOff>
    </xdr:to>
    <xdr:sp macro="" textlink="">
      <xdr:nvSpPr>
        <xdr:cNvPr id="5" name="TodaySquare">
          <a:extLst>
            <a:ext uri="{FF2B5EF4-FFF2-40B4-BE49-F238E27FC236}">
              <a16:creationId xmlns:a16="http://schemas.microsoft.com/office/drawing/2014/main" id="{0F702FB5-E0FF-45F5-2B1B-82FA099241BA}"/>
            </a:ext>
          </a:extLst>
        </xdr:cNvPr>
        <xdr:cNvSpPr/>
      </xdr:nvSpPr>
      <xdr:spPr>
        <a:xfrm>
          <a:off x="9799320" y="1493520"/>
          <a:ext cx="152400" cy="35890201"/>
        </a:xfrm>
        <a:prstGeom prst="rect">
          <a:avLst/>
        </a:prstGeom>
        <a:solidFill>
          <a:srgbClr val="F9AA00">
            <a:alpha val="30000"/>
          </a:srgbClr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</xdr:row>
      <xdr:rowOff>0</xdr:rowOff>
    </xdr:from>
    <xdr:to>
      <xdr:col>19</xdr:col>
      <xdr:colOff>76201</xdr:colOff>
      <xdr:row>13</xdr:row>
      <xdr:rowOff>1</xdr:rowOff>
    </xdr:to>
    <xdr:sp macro="" textlink="">
      <xdr:nvSpPr>
        <xdr:cNvPr id="6" name="フリーフォーム: 図形 5">
          <a:extLst>
            <a:ext uri="{FF2B5EF4-FFF2-40B4-BE49-F238E27FC236}">
              <a16:creationId xmlns:a16="http://schemas.microsoft.com/office/drawing/2014/main" id="{9EE7F05D-8D50-B11E-C6BB-6CB1BB83B3B2}"/>
            </a:ext>
          </a:extLst>
        </xdr:cNvPr>
        <xdr:cNvSpPr/>
      </xdr:nvSpPr>
      <xdr:spPr>
        <a:xfrm>
          <a:off x="9875520" y="1493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0</xdr:colOff>
      <xdr:row>13</xdr:row>
      <xdr:rowOff>0</xdr:rowOff>
    </xdr:from>
    <xdr:to>
      <xdr:col>19</xdr:col>
      <xdr:colOff>76201</xdr:colOff>
      <xdr:row>14</xdr:row>
      <xdr:rowOff>1</xdr:rowOff>
    </xdr:to>
    <xdr:sp macro="" textlink="">
      <xdr:nvSpPr>
        <xdr:cNvPr id="8" name="フリーフォーム: 図形 7">
          <a:extLst>
            <a:ext uri="{FF2B5EF4-FFF2-40B4-BE49-F238E27FC236}">
              <a16:creationId xmlns:a16="http://schemas.microsoft.com/office/drawing/2014/main" id="{790D48EB-0922-6926-249B-36556BDEDCB1}"/>
            </a:ext>
          </a:extLst>
        </xdr:cNvPr>
        <xdr:cNvSpPr/>
      </xdr:nvSpPr>
      <xdr:spPr>
        <a:xfrm>
          <a:off x="9494520" y="1722120"/>
          <a:ext cx="381001" cy="228601"/>
        </a:xfrm>
        <a:custGeom>
          <a:avLst/>
          <a:gdLst/>
          <a:ahLst/>
          <a:cxnLst/>
          <a:rect l="0" t="0" r="0" b="0"/>
          <a:pathLst>
            <a:path w="381001" h="228601">
              <a:moveTo>
                <a:pt x="381000" y="0"/>
              </a:moveTo>
              <a:lnTo>
                <a:pt x="0" y="114300"/>
              </a:lnTo>
              <a:lnTo>
                <a:pt x="38100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</xdr:row>
      <xdr:rowOff>0</xdr:rowOff>
    </xdr:from>
    <xdr:to>
      <xdr:col>19</xdr:col>
      <xdr:colOff>76201</xdr:colOff>
      <xdr:row>15</xdr:row>
      <xdr:rowOff>1</xdr:rowOff>
    </xdr:to>
    <xdr:sp macro="" textlink="">
      <xdr:nvSpPr>
        <xdr:cNvPr id="14" name="フリーフォーム: 図形 13">
          <a:extLst>
            <a:ext uri="{FF2B5EF4-FFF2-40B4-BE49-F238E27FC236}">
              <a16:creationId xmlns:a16="http://schemas.microsoft.com/office/drawing/2014/main" id="{0F868DB9-30AF-43A6-7E45-E47B52638007}"/>
            </a:ext>
          </a:extLst>
        </xdr:cNvPr>
        <xdr:cNvSpPr/>
      </xdr:nvSpPr>
      <xdr:spPr>
        <a:xfrm>
          <a:off x="9875520" y="1950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</xdr:row>
      <xdr:rowOff>0</xdr:rowOff>
    </xdr:from>
    <xdr:to>
      <xdr:col>19</xdr:col>
      <xdr:colOff>76201</xdr:colOff>
      <xdr:row>16</xdr:row>
      <xdr:rowOff>1</xdr:rowOff>
    </xdr:to>
    <xdr:sp macro="" textlink="">
      <xdr:nvSpPr>
        <xdr:cNvPr id="15" name="フリーフォーム: 図形 14">
          <a:extLst>
            <a:ext uri="{FF2B5EF4-FFF2-40B4-BE49-F238E27FC236}">
              <a16:creationId xmlns:a16="http://schemas.microsoft.com/office/drawing/2014/main" id="{91EE5488-12CF-263F-0456-B3CFDD460B6E}"/>
            </a:ext>
          </a:extLst>
        </xdr:cNvPr>
        <xdr:cNvSpPr/>
      </xdr:nvSpPr>
      <xdr:spPr>
        <a:xfrm>
          <a:off x="9875520" y="2179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16</xdr:row>
      <xdr:rowOff>0</xdr:rowOff>
    </xdr:from>
    <xdr:to>
      <xdr:col>19</xdr:col>
      <xdr:colOff>76201</xdr:colOff>
      <xdr:row>17</xdr:row>
      <xdr:rowOff>1</xdr:rowOff>
    </xdr:to>
    <xdr:sp macro="" textlink="">
      <xdr:nvSpPr>
        <xdr:cNvPr id="16" name="フリーフォーム: 図形 15">
          <a:extLst>
            <a:ext uri="{FF2B5EF4-FFF2-40B4-BE49-F238E27FC236}">
              <a16:creationId xmlns:a16="http://schemas.microsoft.com/office/drawing/2014/main" id="{F49819CA-AE66-5F47-98FC-67F8367263D7}"/>
            </a:ext>
          </a:extLst>
        </xdr:cNvPr>
        <xdr:cNvSpPr/>
      </xdr:nvSpPr>
      <xdr:spPr>
        <a:xfrm>
          <a:off x="9875520" y="2407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17</xdr:row>
      <xdr:rowOff>0</xdr:rowOff>
    </xdr:from>
    <xdr:to>
      <xdr:col>19</xdr:col>
      <xdr:colOff>76201</xdr:colOff>
      <xdr:row>18</xdr:row>
      <xdr:rowOff>1</xdr:rowOff>
    </xdr:to>
    <xdr:sp macro="" textlink="">
      <xdr:nvSpPr>
        <xdr:cNvPr id="17" name="フリーフォーム: 図形 16">
          <a:extLst>
            <a:ext uri="{FF2B5EF4-FFF2-40B4-BE49-F238E27FC236}">
              <a16:creationId xmlns:a16="http://schemas.microsoft.com/office/drawing/2014/main" id="{FDC9953A-D129-1499-009D-D699A2F04635}"/>
            </a:ext>
          </a:extLst>
        </xdr:cNvPr>
        <xdr:cNvSpPr/>
      </xdr:nvSpPr>
      <xdr:spPr>
        <a:xfrm>
          <a:off x="9875520" y="2636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18</xdr:row>
      <xdr:rowOff>0</xdr:rowOff>
    </xdr:from>
    <xdr:to>
      <xdr:col>19</xdr:col>
      <xdr:colOff>76201</xdr:colOff>
      <xdr:row>19</xdr:row>
      <xdr:rowOff>1</xdr:rowOff>
    </xdr:to>
    <xdr:sp macro="" textlink="">
      <xdr:nvSpPr>
        <xdr:cNvPr id="18" name="フリーフォーム: 図形 17">
          <a:extLst>
            <a:ext uri="{FF2B5EF4-FFF2-40B4-BE49-F238E27FC236}">
              <a16:creationId xmlns:a16="http://schemas.microsoft.com/office/drawing/2014/main" id="{FDED4997-7703-3A82-9EA9-FD946057D514}"/>
            </a:ext>
          </a:extLst>
        </xdr:cNvPr>
        <xdr:cNvSpPr/>
      </xdr:nvSpPr>
      <xdr:spPr>
        <a:xfrm>
          <a:off x="9875520" y="2865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19</xdr:row>
      <xdr:rowOff>0</xdr:rowOff>
    </xdr:from>
    <xdr:to>
      <xdr:col>19</xdr:col>
      <xdr:colOff>76201</xdr:colOff>
      <xdr:row>20</xdr:row>
      <xdr:rowOff>1</xdr:rowOff>
    </xdr:to>
    <xdr:sp macro="" textlink="">
      <xdr:nvSpPr>
        <xdr:cNvPr id="19" name="フリーフォーム: 図形 18">
          <a:extLst>
            <a:ext uri="{FF2B5EF4-FFF2-40B4-BE49-F238E27FC236}">
              <a16:creationId xmlns:a16="http://schemas.microsoft.com/office/drawing/2014/main" id="{2E34AAA6-B1FF-0581-01D7-B9991833DCE5}"/>
            </a:ext>
          </a:extLst>
        </xdr:cNvPr>
        <xdr:cNvSpPr/>
      </xdr:nvSpPr>
      <xdr:spPr>
        <a:xfrm>
          <a:off x="9875520" y="3093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20</xdr:row>
      <xdr:rowOff>0</xdr:rowOff>
    </xdr:from>
    <xdr:to>
      <xdr:col>19</xdr:col>
      <xdr:colOff>76201</xdr:colOff>
      <xdr:row>21</xdr:row>
      <xdr:rowOff>1</xdr:rowOff>
    </xdr:to>
    <xdr:sp macro="" textlink="">
      <xdr:nvSpPr>
        <xdr:cNvPr id="20" name="フリーフォーム: 図形 19">
          <a:extLst>
            <a:ext uri="{FF2B5EF4-FFF2-40B4-BE49-F238E27FC236}">
              <a16:creationId xmlns:a16="http://schemas.microsoft.com/office/drawing/2014/main" id="{2C743C0A-A550-ABD2-104E-175178490846}"/>
            </a:ext>
          </a:extLst>
        </xdr:cNvPr>
        <xdr:cNvSpPr/>
      </xdr:nvSpPr>
      <xdr:spPr>
        <a:xfrm>
          <a:off x="9875520" y="3322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21</xdr:row>
      <xdr:rowOff>0</xdr:rowOff>
    </xdr:from>
    <xdr:to>
      <xdr:col>19</xdr:col>
      <xdr:colOff>76201</xdr:colOff>
      <xdr:row>22</xdr:row>
      <xdr:rowOff>1</xdr:rowOff>
    </xdr:to>
    <xdr:sp macro="" textlink="">
      <xdr:nvSpPr>
        <xdr:cNvPr id="21" name="フリーフォーム: 図形 20">
          <a:extLst>
            <a:ext uri="{FF2B5EF4-FFF2-40B4-BE49-F238E27FC236}">
              <a16:creationId xmlns:a16="http://schemas.microsoft.com/office/drawing/2014/main" id="{B6D732A3-F461-D7F7-4A25-87B716B2C5F2}"/>
            </a:ext>
          </a:extLst>
        </xdr:cNvPr>
        <xdr:cNvSpPr/>
      </xdr:nvSpPr>
      <xdr:spPr>
        <a:xfrm>
          <a:off x="9875520" y="3550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22</xdr:row>
      <xdr:rowOff>0</xdr:rowOff>
    </xdr:from>
    <xdr:to>
      <xdr:col>19</xdr:col>
      <xdr:colOff>76201</xdr:colOff>
      <xdr:row>23</xdr:row>
      <xdr:rowOff>1</xdr:rowOff>
    </xdr:to>
    <xdr:sp macro="" textlink="">
      <xdr:nvSpPr>
        <xdr:cNvPr id="22" name="フリーフォーム: 図形 21">
          <a:extLst>
            <a:ext uri="{FF2B5EF4-FFF2-40B4-BE49-F238E27FC236}">
              <a16:creationId xmlns:a16="http://schemas.microsoft.com/office/drawing/2014/main" id="{1DD057E4-0A27-9663-5ECD-113523925316}"/>
            </a:ext>
          </a:extLst>
        </xdr:cNvPr>
        <xdr:cNvSpPr/>
      </xdr:nvSpPr>
      <xdr:spPr>
        <a:xfrm>
          <a:off x="9875520" y="3779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23</xdr:row>
      <xdr:rowOff>0</xdr:rowOff>
    </xdr:from>
    <xdr:to>
      <xdr:col>19</xdr:col>
      <xdr:colOff>76201</xdr:colOff>
      <xdr:row>24</xdr:row>
      <xdr:rowOff>1</xdr:rowOff>
    </xdr:to>
    <xdr:sp macro="" textlink="">
      <xdr:nvSpPr>
        <xdr:cNvPr id="23" name="フリーフォーム: 図形 22">
          <a:extLst>
            <a:ext uri="{FF2B5EF4-FFF2-40B4-BE49-F238E27FC236}">
              <a16:creationId xmlns:a16="http://schemas.microsoft.com/office/drawing/2014/main" id="{E56DFCF3-91E3-12FF-434F-2B7AD5C66067}"/>
            </a:ext>
          </a:extLst>
        </xdr:cNvPr>
        <xdr:cNvSpPr/>
      </xdr:nvSpPr>
      <xdr:spPr>
        <a:xfrm>
          <a:off x="9875520" y="4008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24</xdr:row>
      <xdr:rowOff>0</xdr:rowOff>
    </xdr:from>
    <xdr:to>
      <xdr:col>19</xdr:col>
      <xdr:colOff>76201</xdr:colOff>
      <xdr:row>25</xdr:row>
      <xdr:rowOff>1</xdr:rowOff>
    </xdr:to>
    <xdr:sp macro="" textlink="">
      <xdr:nvSpPr>
        <xdr:cNvPr id="24" name="フリーフォーム: 図形 23">
          <a:extLst>
            <a:ext uri="{FF2B5EF4-FFF2-40B4-BE49-F238E27FC236}">
              <a16:creationId xmlns:a16="http://schemas.microsoft.com/office/drawing/2014/main" id="{B89BE68E-2425-496D-4B79-EFAD56F80E04}"/>
            </a:ext>
          </a:extLst>
        </xdr:cNvPr>
        <xdr:cNvSpPr/>
      </xdr:nvSpPr>
      <xdr:spPr>
        <a:xfrm>
          <a:off x="9875520" y="4236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25</xdr:row>
      <xdr:rowOff>0</xdr:rowOff>
    </xdr:from>
    <xdr:to>
      <xdr:col>19</xdr:col>
      <xdr:colOff>76201</xdr:colOff>
      <xdr:row>26</xdr:row>
      <xdr:rowOff>1</xdr:rowOff>
    </xdr:to>
    <xdr:sp macro="" textlink="">
      <xdr:nvSpPr>
        <xdr:cNvPr id="25" name="フリーフォーム: 図形 24">
          <a:extLst>
            <a:ext uri="{FF2B5EF4-FFF2-40B4-BE49-F238E27FC236}">
              <a16:creationId xmlns:a16="http://schemas.microsoft.com/office/drawing/2014/main" id="{35D0742C-C9DA-CF13-070B-213A51777F9E}"/>
            </a:ext>
          </a:extLst>
        </xdr:cNvPr>
        <xdr:cNvSpPr/>
      </xdr:nvSpPr>
      <xdr:spPr>
        <a:xfrm>
          <a:off x="9875520" y="4465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26</xdr:row>
      <xdr:rowOff>0</xdr:rowOff>
    </xdr:from>
    <xdr:to>
      <xdr:col>19</xdr:col>
      <xdr:colOff>76201</xdr:colOff>
      <xdr:row>27</xdr:row>
      <xdr:rowOff>1</xdr:rowOff>
    </xdr:to>
    <xdr:sp macro="" textlink="">
      <xdr:nvSpPr>
        <xdr:cNvPr id="26" name="フリーフォーム: 図形 25">
          <a:extLst>
            <a:ext uri="{FF2B5EF4-FFF2-40B4-BE49-F238E27FC236}">
              <a16:creationId xmlns:a16="http://schemas.microsoft.com/office/drawing/2014/main" id="{D98296F3-C60D-7205-B7E2-513D8644658E}"/>
            </a:ext>
          </a:extLst>
        </xdr:cNvPr>
        <xdr:cNvSpPr/>
      </xdr:nvSpPr>
      <xdr:spPr>
        <a:xfrm>
          <a:off x="9875520" y="4693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27</xdr:row>
      <xdr:rowOff>0</xdr:rowOff>
    </xdr:from>
    <xdr:to>
      <xdr:col>19</xdr:col>
      <xdr:colOff>76201</xdr:colOff>
      <xdr:row>28</xdr:row>
      <xdr:rowOff>1</xdr:rowOff>
    </xdr:to>
    <xdr:sp macro="" textlink="">
      <xdr:nvSpPr>
        <xdr:cNvPr id="27" name="フリーフォーム: 図形 26">
          <a:extLst>
            <a:ext uri="{FF2B5EF4-FFF2-40B4-BE49-F238E27FC236}">
              <a16:creationId xmlns:a16="http://schemas.microsoft.com/office/drawing/2014/main" id="{CC21B1E9-BA61-16E2-CF0E-624FD33D3BC9}"/>
            </a:ext>
          </a:extLst>
        </xdr:cNvPr>
        <xdr:cNvSpPr/>
      </xdr:nvSpPr>
      <xdr:spPr>
        <a:xfrm>
          <a:off x="9875520" y="4922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28</xdr:row>
      <xdr:rowOff>0</xdr:rowOff>
    </xdr:from>
    <xdr:to>
      <xdr:col>19</xdr:col>
      <xdr:colOff>76201</xdr:colOff>
      <xdr:row>29</xdr:row>
      <xdr:rowOff>1</xdr:rowOff>
    </xdr:to>
    <xdr:sp macro="" textlink="">
      <xdr:nvSpPr>
        <xdr:cNvPr id="28" name="フリーフォーム: 図形 27">
          <a:extLst>
            <a:ext uri="{FF2B5EF4-FFF2-40B4-BE49-F238E27FC236}">
              <a16:creationId xmlns:a16="http://schemas.microsoft.com/office/drawing/2014/main" id="{E15A504A-6740-5ECB-CDAE-81E1AF965116}"/>
            </a:ext>
          </a:extLst>
        </xdr:cNvPr>
        <xdr:cNvSpPr/>
      </xdr:nvSpPr>
      <xdr:spPr>
        <a:xfrm>
          <a:off x="9875520" y="5151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29</xdr:row>
      <xdr:rowOff>0</xdr:rowOff>
    </xdr:from>
    <xdr:to>
      <xdr:col>19</xdr:col>
      <xdr:colOff>76201</xdr:colOff>
      <xdr:row>30</xdr:row>
      <xdr:rowOff>1</xdr:rowOff>
    </xdr:to>
    <xdr:sp macro="" textlink="">
      <xdr:nvSpPr>
        <xdr:cNvPr id="29" name="フリーフォーム: 図形 28">
          <a:extLst>
            <a:ext uri="{FF2B5EF4-FFF2-40B4-BE49-F238E27FC236}">
              <a16:creationId xmlns:a16="http://schemas.microsoft.com/office/drawing/2014/main" id="{A6DACBE7-F78E-979D-6939-BEB75B863354}"/>
            </a:ext>
          </a:extLst>
        </xdr:cNvPr>
        <xdr:cNvSpPr/>
      </xdr:nvSpPr>
      <xdr:spPr>
        <a:xfrm>
          <a:off x="9875520" y="5379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30</xdr:row>
      <xdr:rowOff>0</xdr:rowOff>
    </xdr:from>
    <xdr:to>
      <xdr:col>19</xdr:col>
      <xdr:colOff>76201</xdr:colOff>
      <xdr:row>31</xdr:row>
      <xdr:rowOff>1</xdr:rowOff>
    </xdr:to>
    <xdr:sp macro="" textlink="">
      <xdr:nvSpPr>
        <xdr:cNvPr id="30" name="フリーフォーム: 図形 29">
          <a:extLst>
            <a:ext uri="{FF2B5EF4-FFF2-40B4-BE49-F238E27FC236}">
              <a16:creationId xmlns:a16="http://schemas.microsoft.com/office/drawing/2014/main" id="{EFD41DE2-172B-4D15-A8AA-402FF7A7CC58}"/>
            </a:ext>
          </a:extLst>
        </xdr:cNvPr>
        <xdr:cNvSpPr/>
      </xdr:nvSpPr>
      <xdr:spPr>
        <a:xfrm>
          <a:off x="9875520" y="5608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31</xdr:row>
      <xdr:rowOff>0</xdr:rowOff>
    </xdr:from>
    <xdr:to>
      <xdr:col>19</xdr:col>
      <xdr:colOff>76201</xdr:colOff>
      <xdr:row>32</xdr:row>
      <xdr:rowOff>1</xdr:rowOff>
    </xdr:to>
    <xdr:sp macro="" textlink="">
      <xdr:nvSpPr>
        <xdr:cNvPr id="31" name="フリーフォーム: 図形 30">
          <a:extLst>
            <a:ext uri="{FF2B5EF4-FFF2-40B4-BE49-F238E27FC236}">
              <a16:creationId xmlns:a16="http://schemas.microsoft.com/office/drawing/2014/main" id="{5A22EE4F-B8BD-6B68-2FA1-B9812406F3B7}"/>
            </a:ext>
          </a:extLst>
        </xdr:cNvPr>
        <xdr:cNvSpPr/>
      </xdr:nvSpPr>
      <xdr:spPr>
        <a:xfrm>
          <a:off x="9875520" y="5836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32</xdr:row>
      <xdr:rowOff>0</xdr:rowOff>
    </xdr:from>
    <xdr:to>
      <xdr:col>19</xdr:col>
      <xdr:colOff>76201</xdr:colOff>
      <xdr:row>33</xdr:row>
      <xdr:rowOff>1</xdr:rowOff>
    </xdr:to>
    <xdr:sp macro="" textlink="">
      <xdr:nvSpPr>
        <xdr:cNvPr id="32" name="フリーフォーム: 図形 31">
          <a:extLst>
            <a:ext uri="{FF2B5EF4-FFF2-40B4-BE49-F238E27FC236}">
              <a16:creationId xmlns:a16="http://schemas.microsoft.com/office/drawing/2014/main" id="{FF8412F4-ACB0-371B-862B-4ABEAD4093D4}"/>
            </a:ext>
          </a:extLst>
        </xdr:cNvPr>
        <xdr:cNvSpPr/>
      </xdr:nvSpPr>
      <xdr:spPr>
        <a:xfrm>
          <a:off x="9875520" y="6065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33</xdr:row>
      <xdr:rowOff>0</xdr:rowOff>
    </xdr:from>
    <xdr:to>
      <xdr:col>19</xdr:col>
      <xdr:colOff>76201</xdr:colOff>
      <xdr:row>34</xdr:row>
      <xdr:rowOff>1</xdr:rowOff>
    </xdr:to>
    <xdr:sp macro="" textlink="">
      <xdr:nvSpPr>
        <xdr:cNvPr id="33" name="フリーフォーム: 図形 32">
          <a:extLst>
            <a:ext uri="{FF2B5EF4-FFF2-40B4-BE49-F238E27FC236}">
              <a16:creationId xmlns:a16="http://schemas.microsoft.com/office/drawing/2014/main" id="{1EC44927-020E-A000-B465-9AACEE8692E1}"/>
            </a:ext>
          </a:extLst>
        </xdr:cNvPr>
        <xdr:cNvSpPr/>
      </xdr:nvSpPr>
      <xdr:spPr>
        <a:xfrm>
          <a:off x="9875520" y="6294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34</xdr:row>
      <xdr:rowOff>0</xdr:rowOff>
    </xdr:from>
    <xdr:to>
      <xdr:col>19</xdr:col>
      <xdr:colOff>76201</xdr:colOff>
      <xdr:row>35</xdr:row>
      <xdr:rowOff>1</xdr:rowOff>
    </xdr:to>
    <xdr:sp macro="" textlink="">
      <xdr:nvSpPr>
        <xdr:cNvPr id="34" name="フリーフォーム: 図形 33">
          <a:extLst>
            <a:ext uri="{FF2B5EF4-FFF2-40B4-BE49-F238E27FC236}">
              <a16:creationId xmlns:a16="http://schemas.microsoft.com/office/drawing/2014/main" id="{5E24149D-F2FD-8306-BD54-D8F8DA9D65CC}"/>
            </a:ext>
          </a:extLst>
        </xdr:cNvPr>
        <xdr:cNvSpPr/>
      </xdr:nvSpPr>
      <xdr:spPr>
        <a:xfrm>
          <a:off x="9875520" y="6522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35</xdr:row>
      <xdr:rowOff>0</xdr:rowOff>
    </xdr:from>
    <xdr:to>
      <xdr:col>19</xdr:col>
      <xdr:colOff>76201</xdr:colOff>
      <xdr:row>36</xdr:row>
      <xdr:rowOff>1</xdr:rowOff>
    </xdr:to>
    <xdr:sp macro="" textlink="">
      <xdr:nvSpPr>
        <xdr:cNvPr id="35" name="フリーフォーム: 図形 34">
          <a:extLst>
            <a:ext uri="{FF2B5EF4-FFF2-40B4-BE49-F238E27FC236}">
              <a16:creationId xmlns:a16="http://schemas.microsoft.com/office/drawing/2014/main" id="{20CCFE53-CDE2-FA14-9535-86CB39C60A78}"/>
            </a:ext>
          </a:extLst>
        </xdr:cNvPr>
        <xdr:cNvSpPr/>
      </xdr:nvSpPr>
      <xdr:spPr>
        <a:xfrm>
          <a:off x="9875520" y="6751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36</xdr:row>
      <xdr:rowOff>0</xdr:rowOff>
    </xdr:from>
    <xdr:to>
      <xdr:col>19</xdr:col>
      <xdr:colOff>76201</xdr:colOff>
      <xdr:row>37</xdr:row>
      <xdr:rowOff>1</xdr:rowOff>
    </xdr:to>
    <xdr:sp macro="" textlink="">
      <xdr:nvSpPr>
        <xdr:cNvPr id="36" name="フリーフォーム: 図形 35">
          <a:extLst>
            <a:ext uri="{FF2B5EF4-FFF2-40B4-BE49-F238E27FC236}">
              <a16:creationId xmlns:a16="http://schemas.microsoft.com/office/drawing/2014/main" id="{6779A973-0CB4-DC8E-8384-2CCDA9315FC0}"/>
            </a:ext>
          </a:extLst>
        </xdr:cNvPr>
        <xdr:cNvSpPr/>
      </xdr:nvSpPr>
      <xdr:spPr>
        <a:xfrm>
          <a:off x="9875520" y="6979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37</xdr:row>
      <xdr:rowOff>0</xdr:rowOff>
    </xdr:from>
    <xdr:to>
      <xdr:col>19</xdr:col>
      <xdr:colOff>76201</xdr:colOff>
      <xdr:row>38</xdr:row>
      <xdr:rowOff>1</xdr:rowOff>
    </xdr:to>
    <xdr:sp macro="" textlink="">
      <xdr:nvSpPr>
        <xdr:cNvPr id="37" name="フリーフォーム: 図形 36">
          <a:extLst>
            <a:ext uri="{FF2B5EF4-FFF2-40B4-BE49-F238E27FC236}">
              <a16:creationId xmlns:a16="http://schemas.microsoft.com/office/drawing/2014/main" id="{E35C0042-6ED8-45DD-6986-B61848E66099}"/>
            </a:ext>
          </a:extLst>
        </xdr:cNvPr>
        <xdr:cNvSpPr/>
      </xdr:nvSpPr>
      <xdr:spPr>
        <a:xfrm>
          <a:off x="9875520" y="7208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38</xdr:row>
      <xdr:rowOff>0</xdr:rowOff>
    </xdr:from>
    <xdr:to>
      <xdr:col>19</xdr:col>
      <xdr:colOff>76201</xdr:colOff>
      <xdr:row>39</xdr:row>
      <xdr:rowOff>1</xdr:rowOff>
    </xdr:to>
    <xdr:sp macro="" textlink="">
      <xdr:nvSpPr>
        <xdr:cNvPr id="38" name="フリーフォーム: 図形 37">
          <a:extLst>
            <a:ext uri="{FF2B5EF4-FFF2-40B4-BE49-F238E27FC236}">
              <a16:creationId xmlns:a16="http://schemas.microsoft.com/office/drawing/2014/main" id="{65D258C7-7EA5-1A96-E4C0-F975F6C87F26}"/>
            </a:ext>
          </a:extLst>
        </xdr:cNvPr>
        <xdr:cNvSpPr/>
      </xdr:nvSpPr>
      <xdr:spPr>
        <a:xfrm>
          <a:off x="9875520" y="7437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39</xdr:row>
      <xdr:rowOff>0</xdr:rowOff>
    </xdr:from>
    <xdr:to>
      <xdr:col>19</xdr:col>
      <xdr:colOff>76201</xdr:colOff>
      <xdr:row>40</xdr:row>
      <xdr:rowOff>1</xdr:rowOff>
    </xdr:to>
    <xdr:sp macro="" textlink="">
      <xdr:nvSpPr>
        <xdr:cNvPr id="39" name="フリーフォーム: 図形 38">
          <a:extLst>
            <a:ext uri="{FF2B5EF4-FFF2-40B4-BE49-F238E27FC236}">
              <a16:creationId xmlns:a16="http://schemas.microsoft.com/office/drawing/2014/main" id="{2F797784-5D18-250D-911C-324DA2B66B4E}"/>
            </a:ext>
          </a:extLst>
        </xdr:cNvPr>
        <xdr:cNvSpPr/>
      </xdr:nvSpPr>
      <xdr:spPr>
        <a:xfrm>
          <a:off x="9875520" y="7665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40</xdr:row>
      <xdr:rowOff>0</xdr:rowOff>
    </xdr:from>
    <xdr:to>
      <xdr:col>19</xdr:col>
      <xdr:colOff>76201</xdr:colOff>
      <xdr:row>41</xdr:row>
      <xdr:rowOff>1</xdr:rowOff>
    </xdr:to>
    <xdr:sp macro="" textlink="">
      <xdr:nvSpPr>
        <xdr:cNvPr id="40" name="フリーフォーム: 図形 39">
          <a:extLst>
            <a:ext uri="{FF2B5EF4-FFF2-40B4-BE49-F238E27FC236}">
              <a16:creationId xmlns:a16="http://schemas.microsoft.com/office/drawing/2014/main" id="{FDDEB173-A3F4-3EEA-C457-021D14D0A974}"/>
            </a:ext>
          </a:extLst>
        </xdr:cNvPr>
        <xdr:cNvSpPr/>
      </xdr:nvSpPr>
      <xdr:spPr>
        <a:xfrm>
          <a:off x="9875520" y="7894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41</xdr:row>
      <xdr:rowOff>0</xdr:rowOff>
    </xdr:from>
    <xdr:to>
      <xdr:col>19</xdr:col>
      <xdr:colOff>76201</xdr:colOff>
      <xdr:row>42</xdr:row>
      <xdr:rowOff>1</xdr:rowOff>
    </xdr:to>
    <xdr:sp macro="" textlink="">
      <xdr:nvSpPr>
        <xdr:cNvPr id="41" name="フリーフォーム: 図形 40">
          <a:extLst>
            <a:ext uri="{FF2B5EF4-FFF2-40B4-BE49-F238E27FC236}">
              <a16:creationId xmlns:a16="http://schemas.microsoft.com/office/drawing/2014/main" id="{10AF5593-5590-2FCC-08F5-9042CA2A4753}"/>
            </a:ext>
          </a:extLst>
        </xdr:cNvPr>
        <xdr:cNvSpPr/>
      </xdr:nvSpPr>
      <xdr:spPr>
        <a:xfrm>
          <a:off x="9875520" y="8122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42</xdr:row>
      <xdr:rowOff>0</xdr:rowOff>
    </xdr:from>
    <xdr:to>
      <xdr:col>19</xdr:col>
      <xdr:colOff>76201</xdr:colOff>
      <xdr:row>43</xdr:row>
      <xdr:rowOff>1</xdr:rowOff>
    </xdr:to>
    <xdr:sp macro="" textlink="">
      <xdr:nvSpPr>
        <xdr:cNvPr id="42" name="フリーフォーム: 図形 41">
          <a:extLst>
            <a:ext uri="{FF2B5EF4-FFF2-40B4-BE49-F238E27FC236}">
              <a16:creationId xmlns:a16="http://schemas.microsoft.com/office/drawing/2014/main" id="{58D731AB-5E64-AEC9-40B0-2B8903E77CBA}"/>
            </a:ext>
          </a:extLst>
        </xdr:cNvPr>
        <xdr:cNvSpPr/>
      </xdr:nvSpPr>
      <xdr:spPr>
        <a:xfrm>
          <a:off x="9875520" y="8351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43</xdr:row>
      <xdr:rowOff>0</xdr:rowOff>
    </xdr:from>
    <xdr:to>
      <xdr:col>19</xdr:col>
      <xdr:colOff>76201</xdr:colOff>
      <xdr:row>44</xdr:row>
      <xdr:rowOff>1</xdr:rowOff>
    </xdr:to>
    <xdr:sp macro="" textlink="">
      <xdr:nvSpPr>
        <xdr:cNvPr id="43" name="フリーフォーム: 図形 42">
          <a:extLst>
            <a:ext uri="{FF2B5EF4-FFF2-40B4-BE49-F238E27FC236}">
              <a16:creationId xmlns:a16="http://schemas.microsoft.com/office/drawing/2014/main" id="{53372888-95E3-8202-54F2-4E78B31942FF}"/>
            </a:ext>
          </a:extLst>
        </xdr:cNvPr>
        <xdr:cNvSpPr/>
      </xdr:nvSpPr>
      <xdr:spPr>
        <a:xfrm>
          <a:off x="9875520" y="8580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44</xdr:row>
      <xdr:rowOff>0</xdr:rowOff>
    </xdr:from>
    <xdr:to>
      <xdr:col>19</xdr:col>
      <xdr:colOff>76201</xdr:colOff>
      <xdr:row>45</xdr:row>
      <xdr:rowOff>1</xdr:rowOff>
    </xdr:to>
    <xdr:sp macro="" textlink="">
      <xdr:nvSpPr>
        <xdr:cNvPr id="44" name="フリーフォーム: 図形 43">
          <a:extLst>
            <a:ext uri="{FF2B5EF4-FFF2-40B4-BE49-F238E27FC236}">
              <a16:creationId xmlns:a16="http://schemas.microsoft.com/office/drawing/2014/main" id="{B4D314D7-8AC8-B41D-7447-CAE5B9B409FD}"/>
            </a:ext>
          </a:extLst>
        </xdr:cNvPr>
        <xdr:cNvSpPr/>
      </xdr:nvSpPr>
      <xdr:spPr>
        <a:xfrm>
          <a:off x="9875520" y="8808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45</xdr:row>
      <xdr:rowOff>0</xdr:rowOff>
    </xdr:from>
    <xdr:to>
      <xdr:col>19</xdr:col>
      <xdr:colOff>76201</xdr:colOff>
      <xdr:row>46</xdr:row>
      <xdr:rowOff>1</xdr:rowOff>
    </xdr:to>
    <xdr:sp macro="" textlink="">
      <xdr:nvSpPr>
        <xdr:cNvPr id="45" name="フリーフォーム: 図形 44">
          <a:extLst>
            <a:ext uri="{FF2B5EF4-FFF2-40B4-BE49-F238E27FC236}">
              <a16:creationId xmlns:a16="http://schemas.microsoft.com/office/drawing/2014/main" id="{871BBE71-B0CB-5856-7F9E-AFB02F6DC279}"/>
            </a:ext>
          </a:extLst>
        </xdr:cNvPr>
        <xdr:cNvSpPr/>
      </xdr:nvSpPr>
      <xdr:spPr>
        <a:xfrm>
          <a:off x="9875520" y="9037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46</xdr:row>
      <xdr:rowOff>0</xdr:rowOff>
    </xdr:from>
    <xdr:to>
      <xdr:col>19</xdr:col>
      <xdr:colOff>76201</xdr:colOff>
      <xdr:row>47</xdr:row>
      <xdr:rowOff>1</xdr:rowOff>
    </xdr:to>
    <xdr:sp macro="" textlink="">
      <xdr:nvSpPr>
        <xdr:cNvPr id="46" name="フリーフォーム: 図形 45">
          <a:extLst>
            <a:ext uri="{FF2B5EF4-FFF2-40B4-BE49-F238E27FC236}">
              <a16:creationId xmlns:a16="http://schemas.microsoft.com/office/drawing/2014/main" id="{E3AF3A51-10E1-5E6A-222E-8DF0EEAB820D}"/>
            </a:ext>
          </a:extLst>
        </xdr:cNvPr>
        <xdr:cNvSpPr/>
      </xdr:nvSpPr>
      <xdr:spPr>
        <a:xfrm>
          <a:off x="9875520" y="9265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47</xdr:row>
      <xdr:rowOff>0</xdr:rowOff>
    </xdr:from>
    <xdr:to>
      <xdr:col>19</xdr:col>
      <xdr:colOff>76201</xdr:colOff>
      <xdr:row>48</xdr:row>
      <xdr:rowOff>1</xdr:rowOff>
    </xdr:to>
    <xdr:sp macro="" textlink="">
      <xdr:nvSpPr>
        <xdr:cNvPr id="47" name="フリーフォーム: 図形 46">
          <a:extLst>
            <a:ext uri="{FF2B5EF4-FFF2-40B4-BE49-F238E27FC236}">
              <a16:creationId xmlns:a16="http://schemas.microsoft.com/office/drawing/2014/main" id="{C837D7D1-054E-DFEF-9CC8-AAECF3CE4A2D}"/>
            </a:ext>
          </a:extLst>
        </xdr:cNvPr>
        <xdr:cNvSpPr/>
      </xdr:nvSpPr>
      <xdr:spPr>
        <a:xfrm>
          <a:off x="9875520" y="9494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48</xdr:row>
      <xdr:rowOff>0</xdr:rowOff>
    </xdr:from>
    <xdr:to>
      <xdr:col>19</xdr:col>
      <xdr:colOff>76201</xdr:colOff>
      <xdr:row>49</xdr:row>
      <xdr:rowOff>1</xdr:rowOff>
    </xdr:to>
    <xdr:sp macro="" textlink="">
      <xdr:nvSpPr>
        <xdr:cNvPr id="48" name="フリーフォーム: 図形 47">
          <a:extLst>
            <a:ext uri="{FF2B5EF4-FFF2-40B4-BE49-F238E27FC236}">
              <a16:creationId xmlns:a16="http://schemas.microsoft.com/office/drawing/2014/main" id="{CD546458-B6B1-04BE-0320-48F3187671FF}"/>
            </a:ext>
          </a:extLst>
        </xdr:cNvPr>
        <xdr:cNvSpPr/>
      </xdr:nvSpPr>
      <xdr:spPr>
        <a:xfrm>
          <a:off x="9875520" y="9723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49</xdr:row>
      <xdr:rowOff>0</xdr:rowOff>
    </xdr:from>
    <xdr:to>
      <xdr:col>19</xdr:col>
      <xdr:colOff>76201</xdr:colOff>
      <xdr:row>50</xdr:row>
      <xdr:rowOff>1</xdr:rowOff>
    </xdr:to>
    <xdr:sp macro="" textlink="">
      <xdr:nvSpPr>
        <xdr:cNvPr id="49" name="フリーフォーム: 図形 48">
          <a:extLst>
            <a:ext uri="{FF2B5EF4-FFF2-40B4-BE49-F238E27FC236}">
              <a16:creationId xmlns:a16="http://schemas.microsoft.com/office/drawing/2014/main" id="{FB0BAE8B-A943-D309-3538-8A040AA3A924}"/>
            </a:ext>
          </a:extLst>
        </xdr:cNvPr>
        <xdr:cNvSpPr/>
      </xdr:nvSpPr>
      <xdr:spPr>
        <a:xfrm>
          <a:off x="9875520" y="9951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50</xdr:row>
      <xdr:rowOff>0</xdr:rowOff>
    </xdr:from>
    <xdr:to>
      <xdr:col>19</xdr:col>
      <xdr:colOff>76201</xdr:colOff>
      <xdr:row>51</xdr:row>
      <xdr:rowOff>1</xdr:rowOff>
    </xdr:to>
    <xdr:sp macro="" textlink="">
      <xdr:nvSpPr>
        <xdr:cNvPr id="50" name="フリーフォーム: 図形 49">
          <a:extLst>
            <a:ext uri="{FF2B5EF4-FFF2-40B4-BE49-F238E27FC236}">
              <a16:creationId xmlns:a16="http://schemas.microsoft.com/office/drawing/2014/main" id="{D1DDD69B-0235-CB30-B997-3CF391A4781A}"/>
            </a:ext>
          </a:extLst>
        </xdr:cNvPr>
        <xdr:cNvSpPr/>
      </xdr:nvSpPr>
      <xdr:spPr>
        <a:xfrm>
          <a:off x="9875520" y="10180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51</xdr:row>
      <xdr:rowOff>0</xdr:rowOff>
    </xdr:from>
    <xdr:to>
      <xdr:col>19</xdr:col>
      <xdr:colOff>76201</xdr:colOff>
      <xdr:row>52</xdr:row>
      <xdr:rowOff>1</xdr:rowOff>
    </xdr:to>
    <xdr:sp macro="" textlink="">
      <xdr:nvSpPr>
        <xdr:cNvPr id="51" name="フリーフォーム: 図形 50">
          <a:extLst>
            <a:ext uri="{FF2B5EF4-FFF2-40B4-BE49-F238E27FC236}">
              <a16:creationId xmlns:a16="http://schemas.microsoft.com/office/drawing/2014/main" id="{2DCB92C3-E506-E0F8-66D9-47C36CC0C727}"/>
            </a:ext>
          </a:extLst>
        </xdr:cNvPr>
        <xdr:cNvSpPr/>
      </xdr:nvSpPr>
      <xdr:spPr>
        <a:xfrm>
          <a:off x="9875520" y="10408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52</xdr:row>
      <xdr:rowOff>0</xdr:rowOff>
    </xdr:from>
    <xdr:to>
      <xdr:col>19</xdr:col>
      <xdr:colOff>76201</xdr:colOff>
      <xdr:row>53</xdr:row>
      <xdr:rowOff>1</xdr:rowOff>
    </xdr:to>
    <xdr:sp macro="" textlink="">
      <xdr:nvSpPr>
        <xdr:cNvPr id="52" name="フリーフォーム: 図形 51">
          <a:extLst>
            <a:ext uri="{FF2B5EF4-FFF2-40B4-BE49-F238E27FC236}">
              <a16:creationId xmlns:a16="http://schemas.microsoft.com/office/drawing/2014/main" id="{AB937213-AEDB-C8E6-18ED-193F730AF77F}"/>
            </a:ext>
          </a:extLst>
        </xdr:cNvPr>
        <xdr:cNvSpPr/>
      </xdr:nvSpPr>
      <xdr:spPr>
        <a:xfrm>
          <a:off x="9875520" y="10637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53</xdr:row>
      <xdr:rowOff>0</xdr:rowOff>
    </xdr:from>
    <xdr:to>
      <xdr:col>19</xdr:col>
      <xdr:colOff>76201</xdr:colOff>
      <xdr:row>54</xdr:row>
      <xdr:rowOff>1</xdr:rowOff>
    </xdr:to>
    <xdr:sp macro="" textlink="">
      <xdr:nvSpPr>
        <xdr:cNvPr id="53" name="フリーフォーム: 図形 52">
          <a:extLst>
            <a:ext uri="{FF2B5EF4-FFF2-40B4-BE49-F238E27FC236}">
              <a16:creationId xmlns:a16="http://schemas.microsoft.com/office/drawing/2014/main" id="{2833ABE4-8FEF-0545-CF76-61DD2418C318}"/>
            </a:ext>
          </a:extLst>
        </xdr:cNvPr>
        <xdr:cNvSpPr/>
      </xdr:nvSpPr>
      <xdr:spPr>
        <a:xfrm>
          <a:off x="9875520" y="10866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54</xdr:row>
      <xdr:rowOff>0</xdr:rowOff>
    </xdr:from>
    <xdr:to>
      <xdr:col>19</xdr:col>
      <xdr:colOff>76201</xdr:colOff>
      <xdr:row>55</xdr:row>
      <xdr:rowOff>1</xdr:rowOff>
    </xdr:to>
    <xdr:sp macro="" textlink="">
      <xdr:nvSpPr>
        <xdr:cNvPr id="54" name="フリーフォーム: 図形 53">
          <a:extLst>
            <a:ext uri="{FF2B5EF4-FFF2-40B4-BE49-F238E27FC236}">
              <a16:creationId xmlns:a16="http://schemas.microsoft.com/office/drawing/2014/main" id="{9D8108EE-3CB6-147B-DA1A-E1C70CD49510}"/>
            </a:ext>
          </a:extLst>
        </xdr:cNvPr>
        <xdr:cNvSpPr/>
      </xdr:nvSpPr>
      <xdr:spPr>
        <a:xfrm>
          <a:off x="9875520" y="11094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55</xdr:row>
      <xdr:rowOff>0</xdr:rowOff>
    </xdr:from>
    <xdr:to>
      <xdr:col>19</xdr:col>
      <xdr:colOff>76201</xdr:colOff>
      <xdr:row>56</xdr:row>
      <xdr:rowOff>1</xdr:rowOff>
    </xdr:to>
    <xdr:sp macro="" textlink="">
      <xdr:nvSpPr>
        <xdr:cNvPr id="55" name="フリーフォーム: 図形 54">
          <a:extLst>
            <a:ext uri="{FF2B5EF4-FFF2-40B4-BE49-F238E27FC236}">
              <a16:creationId xmlns:a16="http://schemas.microsoft.com/office/drawing/2014/main" id="{9754F942-1C60-2527-7D82-995C6411292F}"/>
            </a:ext>
          </a:extLst>
        </xdr:cNvPr>
        <xdr:cNvSpPr/>
      </xdr:nvSpPr>
      <xdr:spPr>
        <a:xfrm>
          <a:off x="9875520" y="11323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56</xdr:row>
      <xdr:rowOff>0</xdr:rowOff>
    </xdr:from>
    <xdr:to>
      <xdr:col>19</xdr:col>
      <xdr:colOff>76201</xdr:colOff>
      <xdr:row>57</xdr:row>
      <xdr:rowOff>1</xdr:rowOff>
    </xdr:to>
    <xdr:sp macro="" textlink="">
      <xdr:nvSpPr>
        <xdr:cNvPr id="56" name="フリーフォーム: 図形 55">
          <a:extLst>
            <a:ext uri="{FF2B5EF4-FFF2-40B4-BE49-F238E27FC236}">
              <a16:creationId xmlns:a16="http://schemas.microsoft.com/office/drawing/2014/main" id="{EBA04C25-A7D7-6975-BAFB-BA3883574317}"/>
            </a:ext>
          </a:extLst>
        </xdr:cNvPr>
        <xdr:cNvSpPr/>
      </xdr:nvSpPr>
      <xdr:spPr>
        <a:xfrm>
          <a:off x="9875520" y="11551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57</xdr:row>
      <xdr:rowOff>0</xdr:rowOff>
    </xdr:from>
    <xdr:to>
      <xdr:col>19</xdr:col>
      <xdr:colOff>76201</xdr:colOff>
      <xdr:row>58</xdr:row>
      <xdr:rowOff>1</xdr:rowOff>
    </xdr:to>
    <xdr:sp macro="" textlink="">
      <xdr:nvSpPr>
        <xdr:cNvPr id="57" name="フリーフォーム: 図形 56">
          <a:extLst>
            <a:ext uri="{FF2B5EF4-FFF2-40B4-BE49-F238E27FC236}">
              <a16:creationId xmlns:a16="http://schemas.microsoft.com/office/drawing/2014/main" id="{63ACDAEF-26F0-C12D-0981-CEC9E38CC4DE}"/>
            </a:ext>
          </a:extLst>
        </xdr:cNvPr>
        <xdr:cNvSpPr/>
      </xdr:nvSpPr>
      <xdr:spPr>
        <a:xfrm>
          <a:off x="9875520" y="11780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58</xdr:row>
      <xdr:rowOff>0</xdr:rowOff>
    </xdr:from>
    <xdr:to>
      <xdr:col>19</xdr:col>
      <xdr:colOff>76201</xdr:colOff>
      <xdr:row>59</xdr:row>
      <xdr:rowOff>1</xdr:rowOff>
    </xdr:to>
    <xdr:sp macro="" textlink="">
      <xdr:nvSpPr>
        <xdr:cNvPr id="58" name="フリーフォーム: 図形 57">
          <a:extLst>
            <a:ext uri="{FF2B5EF4-FFF2-40B4-BE49-F238E27FC236}">
              <a16:creationId xmlns:a16="http://schemas.microsoft.com/office/drawing/2014/main" id="{3835DEB1-B51A-5681-24E2-874B97F4ED17}"/>
            </a:ext>
          </a:extLst>
        </xdr:cNvPr>
        <xdr:cNvSpPr/>
      </xdr:nvSpPr>
      <xdr:spPr>
        <a:xfrm>
          <a:off x="9875520" y="12009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59</xdr:row>
      <xdr:rowOff>0</xdr:rowOff>
    </xdr:from>
    <xdr:to>
      <xdr:col>19</xdr:col>
      <xdr:colOff>76201</xdr:colOff>
      <xdr:row>60</xdr:row>
      <xdr:rowOff>1</xdr:rowOff>
    </xdr:to>
    <xdr:sp macro="" textlink="">
      <xdr:nvSpPr>
        <xdr:cNvPr id="59" name="フリーフォーム: 図形 58">
          <a:extLst>
            <a:ext uri="{FF2B5EF4-FFF2-40B4-BE49-F238E27FC236}">
              <a16:creationId xmlns:a16="http://schemas.microsoft.com/office/drawing/2014/main" id="{86E8EF58-971F-B11A-4155-5BE9515EE3E8}"/>
            </a:ext>
          </a:extLst>
        </xdr:cNvPr>
        <xdr:cNvSpPr/>
      </xdr:nvSpPr>
      <xdr:spPr>
        <a:xfrm>
          <a:off x="9875520" y="12237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60</xdr:row>
      <xdr:rowOff>0</xdr:rowOff>
    </xdr:from>
    <xdr:to>
      <xdr:col>19</xdr:col>
      <xdr:colOff>76201</xdr:colOff>
      <xdr:row>61</xdr:row>
      <xdr:rowOff>1</xdr:rowOff>
    </xdr:to>
    <xdr:sp macro="" textlink="">
      <xdr:nvSpPr>
        <xdr:cNvPr id="60" name="フリーフォーム: 図形 59">
          <a:extLst>
            <a:ext uri="{FF2B5EF4-FFF2-40B4-BE49-F238E27FC236}">
              <a16:creationId xmlns:a16="http://schemas.microsoft.com/office/drawing/2014/main" id="{31902808-E1A3-D582-35E9-225F628B238D}"/>
            </a:ext>
          </a:extLst>
        </xdr:cNvPr>
        <xdr:cNvSpPr/>
      </xdr:nvSpPr>
      <xdr:spPr>
        <a:xfrm>
          <a:off x="9875520" y="12466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61</xdr:row>
      <xdr:rowOff>0</xdr:rowOff>
    </xdr:from>
    <xdr:to>
      <xdr:col>19</xdr:col>
      <xdr:colOff>76201</xdr:colOff>
      <xdr:row>62</xdr:row>
      <xdr:rowOff>1</xdr:rowOff>
    </xdr:to>
    <xdr:sp macro="" textlink="">
      <xdr:nvSpPr>
        <xdr:cNvPr id="61" name="フリーフォーム: 図形 60">
          <a:extLst>
            <a:ext uri="{FF2B5EF4-FFF2-40B4-BE49-F238E27FC236}">
              <a16:creationId xmlns:a16="http://schemas.microsoft.com/office/drawing/2014/main" id="{490A2EFF-9AC3-EE9E-E366-7A0FD95C15B3}"/>
            </a:ext>
          </a:extLst>
        </xdr:cNvPr>
        <xdr:cNvSpPr/>
      </xdr:nvSpPr>
      <xdr:spPr>
        <a:xfrm>
          <a:off x="9875520" y="12694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62</xdr:row>
      <xdr:rowOff>0</xdr:rowOff>
    </xdr:from>
    <xdr:to>
      <xdr:col>19</xdr:col>
      <xdr:colOff>76201</xdr:colOff>
      <xdr:row>63</xdr:row>
      <xdr:rowOff>1</xdr:rowOff>
    </xdr:to>
    <xdr:sp macro="" textlink="">
      <xdr:nvSpPr>
        <xdr:cNvPr id="62" name="フリーフォーム: 図形 61">
          <a:extLst>
            <a:ext uri="{FF2B5EF4-FFF2-40B4-BE49-F238E27FC236}">
              <a16:creationId xmlns:a16="http://schemas.microsoft.com/office/drawing/2014/main" id="{E619F960-0220-1B10-4501-764605770B61}"/>
            </a:ext>
          </a:extLst>
        </xdr:cNvPr>
        <xdr:cNvSpPr/>
      </xdr:nvSpPr>
      <xdr:spPr>
        <a:xfrm>
          <a:off x="9875520" y="12923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63</xdr:row>
      <xdr:rowOff>0</xdr:rowOff>
    </xdr:from>
    <xdr:to>
      <xdr:col>19</xdr:col>
      <xdr:colOff>76201</xdr:colOff>
      <xdr:row>64</xdr:row>
      <xdr:rowOff>1</xdr:rowOff>
    </xdr:to>
    <xdr:sp macro="" textlink="">
      <xdr:nvSpPr>
        <xdr:cNvPr id="63" name="フリーフォーム: 図形 62">
          <a:extLst>
            <a:ext uri="{FF2B5EF4-FFF2-40B4-BE49-F238E27FC236}">
              <a16:creationId xmlns:a16="http://schemas.microsoft.com/office/drawing/2014/main" id="{6D1DDF19-B7A2-7D2D-41A6-E3F0C35DECAD}"/>
            </a:ext>
          </a:extLst>
        </xdr:cNvPr>
        <xdr:cNvSpPr/>
      </xdr:nvSpPr>
      <xdr:spPr>
        <a:xfrm>
          <a:off x="9875520" y="13152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64</xdr:row>
      <xdr:rowOff>0</xdr:rowOff>
    </xdr:from>
    <xdr:to>
      <xdr:col>19</xdr:col>
      <xdr:colOff>76201</xdr:colOff>
      <xdr:row>65</xdr:row>
      <xdr:rowOff>1</xdr:rowOff>
    </xdr:to>
    <xdr:sp macro="" textlink="">
      <xdr:nvSpPr>
        <xdr:cNvPr id="39488" name="フリーフォーム: 図形 39487">
          <a:extLst>
            <a:ext uri="{FF2B5EF4-FFF2-40B4-BE49-F238E27FC236}">
              <a16:creationId xmlns:a16="http://schemas.microsoft.com/office/drawing/2014/main" id="{C2B511AA-E0F6-6605-2007-D85B00FE6984}"/>
            </a:ext>
          </a:extLst>
        </xdr:cNvPr>
        <xdr:cNvSpPr/>
      </xdr:nvSpPr>
      <xdr:spPr>
        <a:xfrm>
          <a:off x="9875520" y="13380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65</xdr:row>
      <xdr:rowOff>0</xdr:rowOff>
    </xdr:from>
    <xdr:to>
      <xdr:col>19</xdr:col>
      <xdr:colOff>76201</xdr:colOff>
      <xdr:row>66</xdr:row>
      <xdr:rowOff>1</xdr:rowOff>
    </xdr:to>
    <xdr:sp macro="" textlink="">
      <xdr:nvSpPr>
        <xdr:cNvPr id="39489" name="フリーフォーム: 図形 39488">
          <a:extLst>
            <a:ext uri="{FF2B5EF4-FFF2-40B4-BE49-F238E27FC236}">
              <a16:creationId xmlns:a16="http://schemas.microsoft.com/office/drawing/2014/main" id="{2D201720-BF1C-B556-C27B-024F263C4E51}"/>
            </a:ext>
          </a:extLst>
        </xdr:cNvPr>
        <xdr:cNvSpPr/>
      </xdr:nvSpPr>
      <xdr:spPr>
        <a:xfrm>
          <a:off x="9875520" y="13609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66</xdr:row>
      <xdr:rowOff>0</xdr:rowOff>
    </xdr:from>
    <xdr:to>
      <xdr:col>19</xdr:col>
      <xdr:colOff>76201</xdr:colOff>
      <xdr:row>67</xdr:row>
      <xdr:rowOff>1</xdr:rowOff>
    </xdr:to>
    <xdr:sp macro="" textlink="">
      <xdr:nvSpPr>
        <xdr:cNvPr id="39490" name="フリーフォーム: 図形 39489">
          <a:extLst>
            <a:ext uri="{FF2B5EF4-FFF2-40B4-BE49-F238E27FC236}">
              <a16:creationId xmlns:a16="http://schemas.microsoft.com/office/drawing/2014/main" id="{AE865D1C-3960-9DD6-49C3-82DA7363F63F}"/>
            </a:ext>
          </a:extLst>
        </xdr:cNvPr>
        <xdr:cNvSpPr/>
      </xdr:nvSpPr>
      <xdr:spPr>
        <a:xfrm>
          <a:off x="9875520" y="13837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67</xdr:row>
      <xdr:rowOff>0</xdr:rowOff>
    </xdr:from>
    <xdr:to>
      <xdr:col>19</xdr:col>
      <xdr:colOff>76201</xdr:colOff>
      <xdr:row>68</xdr:row>
      <xdr:rowOff>1</xdr:rowOff>
    </xdr:to>
    <xdr:sp macro="" textlink="">
      <xdr:nvSpPr>
        <xdr:cNvPr id="39491" name="フリーフォーム: 図形 39490">
          <a:extLst>
            <a:ext uri="{FF2B5EF4-FFF2-40B4-BE49-F238E27FC236}">
              <a16:creationId xmlns:a16="http://schemas.microsoft.com/office/drawing/2014/main" id="{97D4808E-9004-733A-453A-118F0A37F4EB}"/>
            </a:ext>
          </a:extLst>
        </xdr:cNvPr>
        <xdr:cNvSpPr/>
      </xdr:nvSpPr>
      <xdr:spPr>
        <a:xfrm>
          <a:off x="9875520" y="14066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68</xdr:row>
      <xdr:rowOff>0</xdr:rowOff>
    </xdr:from>
    <xdr:to>
      <xdr:col>19</xdr:col>
      <xdr:colOff>76201</xdr:colOff>
      <xdr:row>69</xdr:row>
      <xdr:rowOff>1</xdr:rowOff>
    </xdr:to>
    <xdr:sp macro="" textlink="">
      <xdr:nvSpPr>
        <xdr:cNvPr id="39492" name="フリーフォーム: 図形 39491">
          <a:extLst>
            <a:ext uri="{FF2B5EF4-FFF2-40B4-BE49-F238E27FC236}">
              <a16:creationId xmlns:a16="http://schemas.microsoft.com/office/drawing/2014/main" id="{486C4AD7-B621-3107-6944-1AD230E22C66}"/>
            </a:ext>
          </a:extLst>
        </xdr:cNvPr>
        <xdr:cNvSpPr/>
      </xdr:nvSpPr>
      <xdr:spPr>
        <a:xfrm>
          <a:off x="9875520" y="14295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69</xdr:row>
      <xdr:rowOff>0</xdr:rowOff>
    </xdr:from>
    <xdr:to>
      <xdr:col>19</xdr:col>
      <xdr:colOff>76201</xdr:colOff>
      <xdr:row>70</xdr:row>
      <xdr:rowOff>1</xdr:rowOff>
    </xdr:to>
    <xdr:sp macro="" textlink="">
      <xdr:nvSpPr>
        <xdr:cNvPr id="39493" name="フリーフォーム: 図形 39492">
          <a:extLst>
            <a:ext uri="{FF2B5EF4-FFF2-40B4-BE49-F238E27FC236}">
              <a16:creationId xmlns:a16="http://schemas.microsoft.com/office/drawing/2014/main" id="{52B1E1BE-14EC-2ECA-E997-F7B562CB3D4B}"/>
            </a:ext>
          </a:extLst>
        </xdr:cNvPr>
        <xdr:cNvSpPr/>
      </xdr:nvSpPr>
      <xdr:spPr>
        <a:xfrm>
          <a:off x="9875520" y="14523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70</xdr:row>
      <xdr:rowOff>0</xdr:rowOff>
    </xdr:from>
    <xdr:to>
      <xdr:col>19</xdr:col>
      <xdr:colOff>76201</xdr:colOff>
      <xdr:row>71</xdr:row>
      <xdr:rowOff>1</xdr:rowOff>
    </xdr:to>
    <xdr:sp macro="" textlink="">
      <xdr:nvSpPr>
        <xdr:cNvPr id="39494" name="フリーフォーム: 図形 39493">
          <a:extLst>
            <a:ext uri="{FF2B5EF4-FFF2-40B4-BE49-F238E27FC236}">
              <a16:creationId xmlns:a16="http://schemas.microsoft.com/office/drawing/2014/main" id="{CAECA085-7079-ACED-B996-B77F2716A204}"/>
            </a:ext>
          </a:extLst>
        </xdr:cNvPr>
        <xdr:cNvSpPr/>
      </xdr:nvSpPr>
      <xdr:spPr>
        <a:xfrm>
          <a:off x="9875520" y="14752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71</xdr:row>
      <xdr:rowOff>0</xdr:rowOff>
    </xdr:from>
    <xdr:to>
      <xdr:col>19</xdr:col>
      <xdr:colOff>76201</xdr:colOff>
      <xdr:row>72</xdr:row>
      <xdr:rowOff>1</xdr:rowOff>
    </xdr:to>
    <xdr:sp macro="" textlink="">
      <xdr:nvSpPr>
        <xdr:cNvPr id="39495" name="フリーフォーム: 図形 39494">
          <a:extLst>
            <a:ext uri="{FF2B5EF4-FFF2-40B4-BE49-F238E27FC236}">
              <a16:creationId xmlns:a16="http://schemas.microsoft.com/office/drawing/2014/main" id="{27A8D7FE-5149-D4C4-AB36-ACAA0DEABE5D}"/>
            </a:ext>
          </a:extLst>
        </xdr:cNvPr>
        <xdr:cNvSpPr/>
      </xdr:nvSpPr>
      <xdr:spPr>
        <a:xfrm>
          <a:off x="9875520" y="14980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72</xdr:row>
      <xdr:rowOff>0</xdr:rowOff>
    </xdr:from>
    <xdr:to>
      <xdr:col>19</xdr:col>
      <xdr:colOff>76201</xdr:colOff>
      <xdr:row>73</xdr:row>
      <xdr:rowOff>1</xdr:rowOff>
    </xdr:to>
    <xdr:sp macro="" textlink="">
      <xdr:nvSpPr>
        <xdr:cNvPr id="39496" name="フリーフォーム: 図形 39495">
          <a:extLst>
            <a:ext uri="{FF2B5EF4-FFF2-40B4-BE49-F238E27FC236}">
              <a16:creationId xmlns:a16="http://schemas.microsoft.com/office/drawing/2014/main" id="{C2CC178E-2A5D-D260-BE97-9CFE93BD2EB4}"/>
            </a:ext>
          </a:extLst>
        </xdr:cNvPr>
        <xdr:cNvSpPr/>
      </xdr:nvSpPr>
      <xdr:spPr>
        <a:xfrm>
          <a:off x="9875520" y="15209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73</xdr:row>
      <xdr:rowOff>0</xdr:rowOff>
    </xdr:from>
    <xdr:to>
      <xdr:col>19</xdr:col>
      <xdr:colOff>76201</xdr:colOff>
      <xdr:row>74</xdr:row>
      <xdr:rowOff>1</xdr:rowOff>
    </xdr:to>
    <xdr:sp macro="" textlink="">
      <xdr:nvSpPr>
        <xdr:cNvPr id="39497" name="フリーフォーム: 図形 39496">
          <a:extLst>
            <a:ext uri="{FF2B5EF4-FFF2-40B4-BE49-F238E27FC236}">
              <a16:creationId xmlns:a16="http://schemas.microsoft.com/office/drawing/2014/main" id="{07AEA151-5AE5-DD1E-6A27-EC98BCD057C6}"/>
            </a:ext>
          </a:extLst>
        </xdr:cNvPr>
        <xdr:cNvSpPr/>
      </xdr:nvSpPr>
      <xdr:spPr>
        <a:xfrm>
          <a:off x="9875520" y="15438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74</xdr:row>
      <xdr:rowOff>0</xdr:rowOff>
    </xdr:from>
    <xdr:to>
      <xdr:col>19</xdr:col>
      <xdr:colOff>76201</xdr:colOff>
      <xdr:row>75</xdr:row>
      <xdr:rowOff>1</xdr:rowOff>
    </xdr:to>
    <xdr:sp macro="" textlink="">
      <xdr:nvSpPr>
        <xdr:cNvPr id="39498" name="フリーフォーム: 図形 39497">
          <a:extLst>
            <a:ext uri="{FF2B5EF4-FFF2-40B4-BE49-F238E27FC236}">
              <a16:creationId xmlns:a16="http://schemas.microsoft.com/office/drawing/2014/main" id="{8DFFDD59-2267-F007-1B5C-614552C798FA}"/>
            </a:ext>
          </a:extLst>
        </xdr:cNvPr>
        <xdr:cNvSpPr/>
      </xdr:nvSpPr>
      <xdr:spPr>
        <a:xfrm>
          <a:off x="9875520" y="15666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75</xdr:row>
      <xdr:rowOff>0</xdr:rowOff>
    </xdr:from>
    <xdr:to>
      <xdr:col>19</xdr:col>
      <xdr:colOff>76201</xdr:colOff>
      <xdr:row>76</xdr:row>
      <xdr:rowOff>1</xdr:rowOff>
    </xdr:to>
    <xdr:sp macro="" textlink="">
      <xdr:nvSpPr>
        <xdr:cNvPr id="39499" name="フリーフォーム: 図形 39498">
          <a:extLst>
            <a:ext uri="{FF2B5EF4-FFF2-40B4-BE49-F238E27FC236}">
              <a16:creationId xmlns:a16="http://schemas.microsoft.com/office/drawing/2014/main" id="{A5C1112B-5463-7BCE-3B9A-4E2A0E4A04FD}"/>
            </a:ext>
          </a:extLst>
        </xdr:cNvPr>
        <xdr:cNvSpPr/>
      </xdr:nvSpPr>
      <xdr:spPr>
        <a:xfrm>
          <a:off x="9875520" y="15895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76</xdr:row>
      <xdr:rowOff>0</xdr:rowOff>
    </xdr:from>
    <xdr:to>
      <xdr:col>19</xdr:col>
      <xdr:colOff>76201</xdr:colOff>
      <xdr:row>77</xdr:row>
      <xdr:rowOff>1</xdr:rowOff>
    </xdr:to>
    <xdr:sp macro="" textlink="">
      <xdr:nvSpPr>
        <xdr:cNvPr id="39500" name="フリーフォーム: 図形 39499">
          <a:extLst>
            <a:ext uri="{FF2B5EF4-FFF2-40B4-BE49-F238E27FC236}">
              <a16:creationId xmlns:a16="http://schemas.microsoft.com/office/drawing/2014/main" id="{300339E7-6FAB-6D54-887F-82EEFF064A51}"/>
            </a:ext>
          </a:extLst>
        </xdr:cNvPr>
        <xdr:cNvSpPr/>
      </xdr:nvSpPr>
      <xdr:spPr>
        <a:xfrm>
          <a:off x="9875520" y="16123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77</xdr:row>
      <xdr:rowOff>0</xdr:rowOff>
    </xdr:from>
    <xdr:to>
      <xdr:col>19</xdr:col>
      <xdr:colOff>76201</xdr:colOff>
      <xdr:row>78</xdr:row>
      <xdr:rowOff>1</xdr:rowOff>
    </xdr:to>
    <xdr:sp macro="" textlink="">
      <xdr:nvSpPr>
        <xdr:cNvPr id="39501" name="フリーフォーム: 図形 39500">
          <a:extLst>
            <a:ext uri="{FF2B5EF4-FFF2-40B4-BE49-F238E27FC236}">
              <a16:creationId xmlns:a16="http://schemas.microsoft.com/office/drawing/2014/main" id="{D32A5495-B6F3-FD0D-6C35-DB28240A11FC}"/>
            </a:ext>
          </a:extLst>
        </xdr:cNvPr>
        <xdr:cNvSpPr/>
      </xdr:nvSpPr>
      <xdr:spPr>
        <a:xfrm>
          <a:off x="9875520" y="16352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78</xdr:row>
      <xdr:rowOff>0</xdr:rowOff>
    </xdr:from>
    <xdr:to>
      <xdr:col>19</xdr:col>
      <xdr:colOff>76201</xdr:colOff>
      <xdr:row>79</xdr:row>
      <xdr:rowOff>1</xdr:rowOff>
    </xdr:to>
    <xdr:sp macro="" textlink="">
      <xdr:nvSpPr>
        <xdr:cNvPr id="39502" name="フリーフォーム: 図形 39501">
          <a:extLst>
            <a:ext uri="{FF2B5EF4-FFF2-40B4-BE49-F238E27FC236}">
              <a16:creationId xmlns:a16="http://schemas.microsoft.com/office/drawing/2014/main" id="{44D3C522-2375-90F5-9F9A-3787092D2607}"/>
            </a:ext>
          </a:extLst>
        </xdr:cNvPr>
        <xdr:cNvSpPr/>
      </xdr:nvSpPr>
      <xdr:spPr>
        <a:xfrm>
          <a:off x="9875520" y="16581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79</xdr:row>
      <xdr:rowOff>0</xdr:rowOff>
    </xdr:from>
    <xdr:to>
      <xdr:col>19</xdr:col>
      <xdr:colOff>76201</xdr:colOff>
      <xdr:row>80</xdr:row>
      <xdr:rowOff>1</xdr:rowOff>
    </xdr:to>
    <xdr:sp macro="" textlink="">
      <xdr:nvSpPr>
        <xdr:cNvPr id="39503" name="フリーフォーム: 図形 39502">
          <a:extLst>
            <a:ext uri="{FF2B5EF4-FFF2-40B4-BE49-F238E27FC236}">
              <a16:creationId xmlns:a16="http://schemas.microsoft.com/office/drawing/2014/main" id="{32589A41-1C74-341C-049A-4CB991FE728F}"/>
            </a:ext>
          </a:extLst>
        </xdr:cNvPr>
        <xdr:cNvSpPr/>
      </xdr:nvSpPr>
      <xdr:spPr>
        <a:xfrm>
          <a:off x="9875520" y="16809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80</xdr:row>
      <xdr:rowOff>0</xdr:rowOff>
    </xdr:from>
    <xdr:to>
      <xdr:col>19</xdr:col>
      <xdr:colOff>76201</xdr:colOff>
      <xdr:row>81</xdr:row>
      <xdr:rowOff>1</xdr:rowOff>
    </xdr:to>
    <xdr:sp macro="" textlink="">
      <xdr:nvSpPr>
        <xdr:cNvPr id="39504" name="フリーフォーム: 図形 39503">
          <a:extLst>
            <a:ext uri="{FF2B5EF4-FFF2-40B4-BE49-F238E27FC236}">
              <a16:creationId xmlns:a16="http://schemas.microsoft.com/office/drawing/2014/main" id="{266505A3-4434-6747-7185-19958EF62939}"/>
            </a:ext>
          </a:extLst>
        </xdr:cNvPr>
        <xdr:cNvSpPr/>
      </xdr:nvSpPr>
      <xdr:spPr>
        <a:xfrm>
          <a:off x="9875520" y="17038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81</xdr:row>
      <xdr:rowOff>0</xdr:rowOff>
    </xdr:from>
    <xdr:to>
      <xdr:col>19</xdr:col>
      <xdr:colOff>76201</xdr:colOff>
      <xdr:row>82</xdr:row>
      <xdr:rowOff>1</xdr:rowOff>
    </xdr:to>
    <xdr:sp macro="" textlink="">
      <xdr:nvSpPr>
        <xdr:cNvPr id="39505" name="フリーフォーム: 図形 39504">
          <a:extLst>
            <a:ext uri="{FF2B5EF4-FFF2-40B4-BE49-F238E27FC236}">
              <a16:creationId xmlns:a16="http://schemas.microsoft.com/office/drawing/2014/main" id="{9D72E5D9-E4AE-614E-6DE3-3E1F9297793A}"/>
            </a:ext>
          </a:extLst>
        </xdr:cNvPr>
        <xdr:cNvSpPr/>
      </xdr:nvSpPr>
      <xdr:spPr>
        <a:xfrm>
          <a:off x="9875520" y="17266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82</xdr:row>
      <xdr:rowOff>0</xdr:rowOff>
    </xdr:from>
    <xdr:to>
      <xdr:col>19</xdr:col>
      <xdr:colOff>76201</xdr:colOff>
      <xdr:row>83</xdr:row>
      <xdr:rowOff>1</xdr:rowOff>
    </xdr:to>
    <xdr:sp macro="" textlink="">
      <xdr:nvSpPr>
        <xdr:cNvPr id="39506" name="フリーフォーム: 図形 39505">
          <a:extLst>
            <a:ext uri="{FF2B5EF4-FFF2-40B4-BE49-F238E27FC236}">
              <a16:creationId xmlns:a16="http://schemas.microsoft.com/office/drawing/2014/main" id="{67A34186-E009-11FE-94FD-C35EA299399B}"/>
            </a:ext>
          </a:extLst>
        </xdr:cNvPr>
        <xdr:cNvSpPr/>
      </xdr:nvSpPr>
      <xdr:spPr>
        <a:xfrm>
          <a:off x="9875520" y="17495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83</xdr:row>
      <xdr:rowOff>0</xdr:rowOff>
    </xdr:from>
    <xdr:to>
      <xdr:col>19</xdr:col>
      <xdr:colOff>76201</xdr:colOff>
      <xdr:row>84</xdr:row>
      <xdr:rowOff>1</xdr:rowOff>
    </xdr:to>
    <xdr:sp macro="" textlink="">
      <xdr:nvSpPr>
        <xdr:cNvPr id="39507" name="フリーフォーム: 図形 39506">
          <a:extLst>
            <a:ext uri="{FF2B5EF4-FFF2-40B4-BE49-F238E27FC236}">
              <a16:creationId xmlns:a16="http://schemas.microsoft.com/office/drawing/2014/main" id="{EF3758E2-664B-DCAA-1D4F-D95DE9A69509}"/>
            </a:ext>
          </a:extLst>
        </xdr:cNvPr>
        <xdr:cNvSpPr/>
      </xdr:nvSpPr>
      <xdr:spPr>
        <a:xfrm>
          <a:off x="9875520" y="17724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84</xdr:row>
      <xdr:rowOff>0</xdr:rowOff>
    </xdr:from>
    <xdr:to>
      <xdr:col>19</xdr:col>
      <xdr:colOff>76201</xdr:colOff>
      <xdr:row>85</xdr:row>
      <xdr:rowOff>1</xdr:rowOff>
    </xdr:to>
    <xdr:sp macro="" textlink="">
      <xdr:nvSpPr>
        <xdr:cNvPr id="39508" name="フリーフォーム: 図形 39507">
          <a:extLst>
            <a:ext uri="{FF2B5EF4-FFF2-40B4-BE49-F238E27FC236}">
              <a16:creationId xmlns:a16="http://schemas.microsoft.com/office/drawing/2014/main" id="{FD34B5AC-A240-6A96-3D77-872B82167154}"/>
            </a:ext>
          </a:extLst>
        </xdr:cNvPr>
        <xdr:cNvSpPr/>
      </xdr:nvSpPr>
      <xdr:spPr>
        <a:xfrm>
          <a:off x="9875520" y="17952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85</xdr:row>
      <xdr:rowOff>0</xdr:rowOff>
    </xdr:from>
    <xdr:to>
      <xdr:col>19</xdr:col>
      <xdr:colOff>76201</xdr:colOff>
      <xdr:row>86</xdr:row>
      <xdr:rowOff>1</xdr:rowOff>
    </xdr:to>
    <xdr:sp macro="" textlink="">
      <xdr:nvSpPr>
        <xdr:cNvPr id="39509" name="フリーフォーム: 図形 39508">
          <a:extLst>
            <a:ext uri="{FF2B5EF4-FFF2-40B4-BE49-F238E27FC236}">
              <a16:creationId xmlns:a16="http://schemas.microsoft.com/office/drawing/2014/main" id="{6AE32DEE-62A5-8463-F158-52BCFBB7E4A2}"/>
            </a:ext>
          </a:extLst>
        </xdr:cNvPr>
        <xdr:cNvSpPr/>
      </xdr:nvSpPr>
      <xdr:spPr>
        <a:xfrm>
          <a:off x="9875520" y="18181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86</xdr:row>
      <xdr:rowOff>0</xdr:rowOff>
    </xdr:from>
    <xdr:to>
      <xdr:col>19</xdr:col>
      <xdr:colOff>76201</xdr:colOff>
      <xdr:row>87</xdr:row>
      <xdr:rowOff>1</xdr:rowOff>
    </xdr:to>
    <xdr:sp macro="" textlink="">
      <xdr:nvSpPr>
        <xdr:cNvPr id="39510" name="フリーフォーム: 図形 39509">
          <a:extLst>
            <a:ext uri="{FF2B5EF4-FFF2-40B4-BE49-F238E27FC236}">
              <a16:creationId xmlns:a16="http://schemas.microsoft.com/office/drawing/2014/main" id="{07DD8496-65C0-CD2C-335D-A9109FB53BA2}"/>
            </a:ext>
          </a:extLst>
        </xdr:cNvPr>
        <xdr:cNvSpPr/>
      </xdr:nvSpPr>
      <xdr:spPr>
        <a:xfrm>
          <a:off x="9875520" y="18409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87</xdr:row>
      <xdr:rowOff>0</xdr:rowOff>
    </xdr:from>
    <xdr:to>
      <xdr:col>19</xdr:col>
      <xdr:colOff>76201</xdr:colOff>
      <xdr:row>88</xdr:row>
      <xdr:rowOff>1</xdr:rowOff>
    </xdr:to>
    <xdr:sp macro="" textlink="">
      <xdr:nvSpPr>
        <xdr:cNvPr id="39511" name="フリーフォーム: 図形 39510">
          <a:extLst>
            <a:ext uri="{FF2B5EF4-FFF2-40B4-BE49-F238E27FC236}">
              <a16:creationId xmlns:a16="http://schemas.microsoft.com/office/drawing/2014/main" id="{9E62CD65-25B1-D9D9-1AF4-250F20505A8F}"/>
            </a:ext>
          </a:extLst>
        </xdr:cNvPr>
        <xdr:cNvSpPr/>
      </xdr:nvSpPr>
      <xdr:spPr>
        <a:xfrm>
          <a:off x="9875520" y="18638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88</xdr:row>
      <xdr:rowOff>0</xdr:rowOff>
    </xdr:from>
    <xdr:to>
      <xdr:col>19</xdr:col>
      <xdr:colOff>76201</xdr:colOff>
      <xdr:row>89</xdr:row>
      <xdr:rowOff>1</xdr:rowOff>
    </xdr:to>
    <xdr:sp macro="" textlink="">
      <xdr:nvSpPr>
        <xdr:cNvPr id="39512" name="フリーフォーム: 図形 39511">
          <a:extLst>
            <a:ext uri="{FF2B5EF4-FFF2-40B4-BE49-F238E27FC236}">
              <a16:creationId xmlns:a16="http://schemas.microsoft.com/office/drawing/2014/main" id="{117F755F-6683-0688-EB08-CBE96E69B20C}"/>
            </a:ext>
          </a:extLst>
        </xdr:cNvPr>
        <xdr:cNvSpPr/>
      </xdr:nvSpPr>
      <xdr:spPr>
        <a:xfrm>
          <a:off x="9875520" y="18867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89</xdr:row>
      <xdr:rowOff>0</xdr:rowOff>
    </xdr:from>
    <xdr:to>
      <xdr:col>19</xdr:col>
      <xdr:colOff>76201</xdr:colOff>
      <xdr:row>90</xdr:row>
      <xdr:rowOff>1</xdr:rowOff>
    </xdr:to>
    <xdr:sp macro="" textlink="">
      <xdr:nvSpPr>
        <xdr:cNvPr id="39513" name="フリーフォーム: 図形 39512">
          <a:extLst>
            <a:ext uri="{FF2B5EF4-FFF2-40B4-BE49-F238E27FC236}">
              <a16:creationId xmlns:a16="http://schemas.microsoft.com/office/drawing/2014/main" id="{A25F1984-978D-C5DC-C32C-94141E590B28}"/>
            </a:ext>
          </a:extLst>
        </xdr:cNvPr>
        <xdr:cNvSpPr/>
      </xdr:nvSpPr>
      <xdr:spPr>
        <a:xfrm>
          <a:off x="9875520" y="19095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90</xdr:row>
      <xdr:rowOff>0</xdr:rowOff>
    </xdr:from>
    <xdr:to>
      <xdr:col>19</xdr:col>
      <xdr:colOff>76201</xdr:colOff>
      <xdr:row>91</xdr:row>
      <xdr:rowOff>1</xdr:rowOff>
    </xdr:to>
    <xdr:sp macro="" textlink="">
      <xdr:nvSpPr>
        <xdr:cNvPr id="39514" name="フリーフォーム: 図形 39513">
          <a:extLst>
            <a:ext uri="{FF2B5EF4-FFF2-40B4-BE49-F238E27FC236}">
              <a16:creationId xmlns:a16="http://schemas.microsoft.com/office/drawing/2014/main" id="{2248A853-804E-CCA5-C819-E5D176069CA0}"/>
            </a:ext>
          </a:extLst>
        </xdr:cNvPr>
        <xdr:cNvSpPr/>
      </xdr:nvSpPr>
      <xdr:spPr>
        <a:xfrm>
          <a:off x="9875520" y="19324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91</xdr:row>
      <xdr:rowOff>0</xdr:rowOff>
    </xdr:from>
    <xdr:to>
      <xdr:col>19</xdr:col>
      <xdr:colOff>76201</xdr:colOff>
      <xdr:row>92</xdr:row>
      <xdr:rowOff>1</xdr:rowOff>
    </xdr:to>
    <xdr:sp macro="" textlink="">
      <xdr:nvSpPr>
        <xdr:cNvPr id="39515" name="フリーフォーム: 図形 39514">
          <a:extLst>
            <a:ext uri="{FF2B5EF4-FFF2-40B4-BE49-F238E27FC236}">
              <a16:creationId xmlns:a16="http://schemas.microsoft.com/office/drawing/2014/main" id="{85C0F38C-F175-EA47-5C6F-05B735E12B79}"/>
            </a:ext>
          </a:extLst>
        </xdr:cNvPr>
        <xdr:cNvSpPr/>
      </xdr:nvSpPr>
      <xdr:spPr>
        <a:xfrm>
          <a:off x="9875520" y="19552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92</xdr:row>
      <xdr:rowOff>0</xdr:rowOff>
    </xdr:from>
    <xdr:to>
      <xdr:col>19</xdr:col>
      <xdr:colOff>76201</xdr:colOff>
      <xdr:row>93</xdr:row>
      <xdr:rowOff>1</xdr:rowOff>
    </xdr:to>
    <xdr:sp macro="" textlink="">
      <xdr:nvSpPr>
        <xdr:cNvPr id="39516" name="フリーフォーム: 図形 39515">
          <a:extLst>
            <a:ext uri="{FF2B5EF4-FFF2-40B4-BE49-F238E27FC236}">
              <a16:creationId xmlns:a16="http://schemas.microsoft.com/office/drawing/2014/main" id="{F7133E3C-976D-F483-CA8D-4A967E7BD8C1}"/>
            </a:ext>
          </a:extLst>
        </xdr:cNvPr>
        <xdr:cNvSpPr/>
      </xdr:nvSpPr>
      <xdr:spPr>
        <a:xfrm>
          <a:off x="9875520" y="19781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93</xdr:row>
      <xdr:rowOff>0</xdr:rowOff>
    </xdr:from>
    <xdr:to>
      <xdr:col>19</xdr:col>
      <xdr:colOff>76201</xdr:colOff>
      <xdr:row>94</xdr:row>
      <xdr:rowOff>1</xdr:rowOff>
    </xdr:to>
    <xdr:sp macro="" textlink="">
      <xdr:nvSpPr>
        <xdr:cNvPr id="39517" name="フリーフォーム: 図形 39516">
          <a:extLst>
            <a:ext uri="{FF2B5EF4-FFF2-40B4-BE49-F238E27FC236}">
              <a16:creationId xmlns:a16="http://schemas.microsoft.com/office/drawing/2014/main" id="{E9301D0E-96FA-6970-28D1-1544259E42E4}"/>
            </a:ext>
          </a:extLst>
        </xdr:cNvPr>
        <xdr:cNvSpPr/>
      </xdr:nvSpPr>
      <xdr:spPr>
        <a:xfrm>
          <a:off x="9875520" y="20010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94</xdr:row>
      <xdr:rowOff>0</xdr:rowOff>
    </xdr:from>
    <xdr:to>
      <xdr:col>19</xdr:col>
      <xdr:colOff>76201</xdr:colOff>
      <xdr:row>95</xdr:row>
      <xdr:rowOff>1</xdr:rowOff>
    </xdr:to>
    <xdr:sp macro="" textlink="">
      <xdr:nvSpPr>
        <xdr:cNvPr id="39519" name="フリーフォーム: 図形 39518">
          <a:extLst>
            <a:ext uri="{FF2B5EF4-FFF2-40B4-BE49-F238E27FC236}">
              <a16:creationId xmlns:a16="http://schemas.microsoft.com/office/drawing/2014/main" id="{B478B192-EC0F-4BE9-EE46-A53E6B81E36B}"/>
            </a:ext>
          </a:extLst>
        </xdr:cNvPr>
        <xdr:cNvSpPr/>
      </xdr:nvSpPr>
      <xdr:spPr>
        <a:xfrm>
          <a:off x="9875520" y="20238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95</xdr:row>
      <xdr:rowOff>0</xdr:rowOff>
    </xdr:from>
    <xdr:to>
      <xdr:col>19</xdr:col>
      <xdr:colOff>76201</xdr:colOff>
      <xdr:row>96</xdr:row>
      <xdr:rowOff>1</xdr:rowOff>
    </xdr:to>
    <xdr:sp macro="" textlink="">
      <xdr:nvSpPr>
        <xdr:cNvPr id="39520" name="フリーフォーム: 図形 39519">
          <a:extLst>
            <a:ext uri="{FF2B5EF4-FFF2-40B4-BE49-F238E27FC236}">
              <a16:creationId xmlns:a16="http://schemas.microsoft.com/office/drawing/2014/main" id="{3945CC7D-E053-8051-DE77-B61E607E461C}"/>
            </a:ext>
          </a:extLst>
        </xdr:cNvPr>
        <xdr:cNvSpPr/>
      </xdr:nvSpPr>
      <xdr:spPr>
        <a:xfrm>
          <a:off x="9875520" y="20467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96</xdr:row>
      <xdr:rowOff>0</xdr:rowOff>
    </xdr:from>
    <xdr:to>
      <xdr:col>19</xdr:col>
      <xdr:colOff>76201</xdr:colOff>
      <xdr:row>97</xdr:row>
      <xdr:rowOff>1</xdr:rowOff>
    </xdr:to>
    <xdr:sp macro="" textlink="">
      <xdr:nvSpPr>
        <xdr:cNvPr id="39521" name="フリーフォーム: 図形 39520">
          <a:extLst>
            <a:ext uri="{FF2B5EF4-FFF2-40B4-BE49-F238E27FC236}">
              <a16:creationId xmlns:a16="http://schemas.microsoft.com/office/drawing/2014/main" id="{5D12A438-FED8-8D6A-F52A-9992AF7B3A93}"/>
            </a:ext>
          </a:extLst>
        </xdr:cNvPr>
        <xdr:cNvSpPr/>
      </xdr:nvSpPr>
      <xdr:spPr>
        <a:xfrm>
          <a:off x="9875520" y="20695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97</xdr:row>
      <xdr:rowOff>0</xdr:rowOff>
    </xdr:from>
    <xdr:to>
      <xdr:col>19</xdr:col>
      <xdr:colOff>76201</xdr:colOff>
      <xdr:row>98</xdr:row>
      <xdr:rowOff>1</xdr:rowOff>
    </xdr:to>
    <xdr:sp macro="" textlink="">
      <xdr:nvSpPr>
        <xdr:cNvPr id="39522" name="フリーフォーム: 図形 39521">
          <a:extLst>
            <a:ext uri="{FF2B5EF4-FFF2-40B4-BE49-F238E27FC236}">
              <a16:creationId xmlns:a16="http://schemas.microsoft.com/office/drawing/2014/main" id="{11EF7F21-E96C-878B-D02B-273EBEA3EF34}"/>
            </a:ext>
          </a:extLst>
        </xdr:cNvPr>
        <xdr:cNvSpPr/>
      </xdr:nvSpPr>
      <xdr:spPr>
        <a:xfrm>
          <a:off x="9875520" y="20924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98</xdr:row>
      <xdr:rowOff>0</xdr:rowOff>
    </xdr:from>
    <xdr:to>
      <xdr:col>19</xdr:col>
      <xdr:colOff>76201</xdr:colOff>
      <xdr:row>99</xdr:row>
      <xdr:rowOff>1</xdr:rowOff>
    </xdr:to>
    <xdr:sp macro="" textlink="">
      <xdr:nvSpPr>
        <xdr:cNvPr id="39523" name="フリーフォーム: 図形 39522">
          <a:extLst>
            <a:ext uri="{FF2B5EF4-FFF2-40B4-BE49-F238E27FC236}">
              <a16:creationId xmlns:a16="http://schemas.microsoft.com/office/drawing/2014/main" id="{3F16DC3D-E2F3-27F1-7248-38C1DF8BFE9D}"/>
            </a:ext>
          </a:extLst>
        </xdr:cNvPr>
        <xdr:cNvSpPr/>
      </xdr:nvSpPr>
      <xdr:spPr>
        <a:xfrm>
          <a:off x="9875520" y="21153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99</xdr:row>
      <xdr:rowOff>0</xdr:rowOff>
    </xdr:from>
    <xdr:to>
      <xdr:col>19</xdr:col>
      <xdr:colOff>76201</xdr:colOff>
      <xdr:row>100</xdr:row>
      <xdr:rowOff>1</xdr:rowOff>
    </xdr:to>
    <xdr:sp macro="" textlink="">
      <xdr:nvSpPr>
        <xdr:cNvPr id="39524" name="フリーフォーム: 図形 39523">
          <a:extLst>
            <a:ext uri="{FF2B5EF4-FFF2-40B4-BE49-F238E27FC236}">
              <a16:creationId xmlns:a16="http://schemas.microsoft.com/office/drawing/2014/main" id="{0B01AEA7-77CE-C871-4303-420AFC912FBC}"/>
            </a:ext>
          </a:extLst>
        </xdr:cNvPr>
        <xdr:cNvSpPr/>
      </xdr:nvSpPr>
      <xdr:spPr>
        <a:xfrm>
          <a:off x="9875520" y="21381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100</xdr:row>
      <xdr:rowOff>0</xdr:rowOff>
    </xdr:from>
    <xdr:to>
      <xdr:col>19</xdr:col>
      <xdr:colOff>76201</xdr:colOff>
      <xdr:row>101</xdr:row>
      <xdr:rowOff>1</xdr:rowOff>
    </xdr:to>
    <xdr:sp macro="" textlink="">
      <xdr:nvSpPr>
        <xdr:cNvPr id="39525" name="フリーフォーム: 図形 39524">
          <a:extLst>
            <a:ext uri="{FF2B5EF4-FFF2-40B4-BE49-F238E27FC236}">
              <a16:creationId xmlns:a16="http://schemas.microsoft.com/office/drawing/2014/main" id="{D835174A-B495-574D-F5FE-4864D209C1BA}"/>
            </a:ext>
          </a:extLst>
        </xdr:cNvPr>
        <xdr:cNvSpPr/>
      </xdr:nvSpPr>
      <xdr:spPr>
        <a:xfrm>
          <a:off x="9875520" y="21610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101</xdr:row>
      <xdr:rowOff>0</xdr:rowOff>
    </xdr:from>
    <xdr:to>
      <xdr:col>19</xdr:col>
      <xdr:colOff>76201</xdr:colOff>
      <xdr:row>102</xdr:row>
      <xdr:rowOff>1</xdr:rowOff>
    </xdr:to>
    <xdr:sp macro="" textlink="">
      <xdr:nvSpPr>
        <xdr:cNvPr id="39526" name="フリーフォーム: 図形 39525">
          <a:extLst>
            <a:ext uri="{FF2B5EF4-FFF2-40B4-BE49-F238E27FC236}">
              <a16:creationId xmlns:a16="http://schemas.microsoft.com/office/drawing/2014/main" id="{6595CC83-7CB7-B932-99EA-87E1695FA008}"/>
            </a:ext>
          </a:extLst>
        </xdr:cNvPr>
        <xdr:cNvSpPr/>
      </xdr:nvSpPr>
      <xdr:spPr>
        <a:xfrm>
          <a:off x="9875520" y="21838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102</xdr:row>
      <xdr:rowOff>0</xdr:rowOff>
    </xdr:from>
    <xdr:to>
      <xdr:col>19</xdr:col>
      <xdr:colOff>76201</xdr:colOff>
      <xdr:row>103</xdr:row>
      <xdr:rowOff>1</xdr:rowOff>
    </xdr:to>
    <xdr:sp macro="" textlink="">
      <xdr:nvSpPr>
        <xdr:cNvPr id="39527" name="フリーフォーム: 図形 39526">
          <a:extLst>
            <a:ext uri="{FF2B5EF4-FFF2-40B4-BE49-F238E27FC236}">
              <a16:creationId xmlns:a16="http://schemas.microsoft.com/office/drawing/2014/main" id="{286B603F-5E1D-FAB8-3742-B9C893FBDECE}"/>
            </a:ext>
          </a:extLst>
        </xdr:cNvPr>
        <xdr:cNvSpPr/>
      </xdr:nvSpPr>
      <xdr:spPr>
        <a:xfrm>
          <a:off x="9875520" y="22067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103</xdr:row>
      <xdr:rowOff>0</xdr:rowOff>
    </xdr:from>
    <xdr:to>
      <xdr:col>19</xdr:col>
      <xdr:colOff>76201</xdr:colOff>
      <xdr:row>104</xdr:row>
      <xdr:rowOff>1</xdr:rowOff>
    </xdr:to>
    <xdr:sp macro="" textlink="">
      <xdr:nvSpPr>
        <xdr:cNvPr id="39528" name="フリーフォーム: 図形 39527">
          <a:extLst>
            <a:ext uri="{FF2B5EF4-FFF2-40B4-BE49-F238E27FC236}">
              <a16:creationId xmlns:a16="http://schemas.microsoft.com/office/drawing/2014/main" id="{BD92083D-45FB-071A-1BA8-BD551AF21EE0}"/>
            </a:ext>
          </a:extLst>
        </xdr:cNvPr>
        <xdr:cNvSpPr/>
      </xdr:nvSpPr>
      <xdr:spPr>
        <a:xfrm>
          <a:off x="9875520" y="22296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104</xdr:row>
      <xdr:rowOff>0</xdr:rowOff>
    </xdr:from>
    <xdr:to>
      <xdr:col>19</xdr:col>
      <xdr:colOff>76201</xdr:colOff>
      <xdr:row>105</xdr:row>
      <xdr:rowOff>1</xdr:rowOff>
    </xdr:to>
    <xdr:sp macro="" textlink="">
      <xdr:nvSpPr>
        <xdr:cNvPr id="39529" name="フリーフォーム: 図形 39528">
          <a:extLst>
            <a:ext uri="{FF2B5EF4-FFF2-40B4-BE49-F238E27FC236}">
              <a16:creationId xmlns:a16="http://schemas.microsoft.com/office/drawing/2014/main" id="{13AA8AE5-A24C-C328-D33B-C94D506C4426}"/>
            </a:ext>
          </a:extLst>
        </xdr:cNvPr>
        <xdr:cNvSpPr/>
      </xdr:nvSpPr>
      <xdr:spPr>
        <a:xfrm>
          <a:off x="9875520" y="22524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105</xdr:row>
      <xdr:rowOff>0</xdr:rowOff>
    </xdr:from>
    <xdr:to>
      <xdr:col>19</xdr:col>
      <xdr:colOff>76201</xdr:colOff>
      <xdr:row>106</xdr:row>
      <xdr:rowOff>1</xdr:rowOff>
    </xdr:to>
    <xdr:sp macro="" textlink="">
      <xdr:nvSpPr>
        <xdr:cNvPr id="2" name="フリーフォーム: 図形 39529">
          <a:extLst>
            <a:ext uri="{FF2B5EF4-FFF2-40B4-BE49-F238E27FC236}">
              <a16:creationId xmlns:a16="http://schemas.microsoft.com/office/drawing/2014/main" id="{802E2B63-49B6-DE2D-07B7-81B10089710A}"/>
            </a:ext>
          </a:extLst>
        </xdr:cNvPr>
        <xdr:cNvSpPr/>
      </xdr:nvSpPr>
      <xdr:spPr>
        <a:xfrm>
          <a:off x="9875520" y="22753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106</xdr:row>
      <xdr:rowOff>0</xdr:rowOff>
    </xdr:from>
    <xdr:to>
      <xdr:col>19</xdr:col>
      <xdr:colOff>76201</xdr:colOff>
      <xdr:row>107</xdr:row>
      <xdr:rowOff>1</xdr:rowOff>
    </xdr:to>
    <xdr:sp macro="" textlink="">
      <xdr:nvSpPr>
        <xdr:cNvPr id="39531" name="フリーフォーム: 図形 39530">
          <a:extLst>
            <a:ext uri="{FF2B5EF4-FFF2-40B4-BE49-F238E27FC236}">
              <a16:creationId xmlns:a16="http://schemas.microsoft.com/office/drawing/2014/main" id="{3C9873E2-D41F-7E01-B9BE-9CF4EB2E9571}"/>
            </a:ext>
          </a:extLst>
        </xdr:cNvPr>
        <xdr:cNvSpPr/>
      </xdr:nvSpPr>
      <xdr:spPr>
        <a:xfrm>
          <a:off x="9875520" y="22981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107</xdr:row>
      <xdr:rowOff>0</xdr:rowOff>
    </xdr:from>
    <xdr:to>
      <xdr:col>19</xdr:col>
      <xdr:colOff>76201</xdr:colOff>
      <xdr:row>108</xdr:row>
      <xdr:rowOff>1</xdr:rowOff>
    </xdr:to>
    <xdr:sp macro="" textlink="">
      <xdr:nvSpPr>
        <xdr:cNvPr id="39532" name="フリーフォーム: 図形 39531">
          <a:extLst>
            <a:ext uri="{FF2B5EF4-FFF2-40B4-BE49-F238E27FC236}">
              <a16:creationId xmlns:a16="http://schemas.microsoft.com/office/drawing/2014/main" id="{16389DF5-D3E1-58E2-E001-4D2A721033DD}"/>
            </a:ext>
          </a:extLst>
        </xdr:cNvPr>
        <xdr:cNvSpPr/>
      </xdr:nvSpPr>
      <xdr:spPr>
        <a:xfrm>
          <a:off x="9875520" y="23210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108</xdr:row>
      <xdr:rowOff>0</xdr:rowOff>
    </xdr:from>
    <xdr:to>
      <xdr:col>19</xdr:col>
      <xdr:colOff>76201</xdr:colOff>
      <xdr:row>109</xdr:row>
      <xdr:rowOff>1</xdr:rowOff>
    </xdr:to>
    <xdr:sp macro="" textlink="">
      <xdr:nvSpPr>
        <xdr:cNvPr id="39533" name="フリーフォーム: 図形 39532">
          <a:extLst>
            <a:ext uri="{FF2B5EF4-FFF2-40B4-BE49-F238E27FC236}">
              <a16:creationId xmlns:a16="http://schemas.microsoft.com/office/drawing/2014/main" id="{BEED8F0C-6FC0-2A67-27D8-D196E8D41AB2}"/>
            </a:ext>
          </a:extLst>
        </xdr:cNvPr>
        <xdr:cNvSpPr/>
      </xdr:nvSpPr>
      <xdr:spPr>
        <a:xfrm>
          <a:off x="9875520" y="23439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109</xdr:row>
      <xdr:rowOff>0</xdr:rowOff>
    </xdr:from>
    <xdr:to>
      <xdr:col>19</xdr:col>
      <xdr:colOff>76201</xdr:colOff>
      <xdr:row>110</xdr:row>
      <xdr:rowOff>1</xdr:rowOff>
    </xdr:to>
    <xdr:sp macro="" textlink="">
      <xdr:nvSpPr>
        <xdr:cNvPr id="39534" name="フリーフォーム: 図形 39533">
          <a:extLst>
            <a:ext uri="{FF2B5EF4-FFF2-40B4-BE49-F238E27FC236}">
              <a16:creationId xmlns:a16="http://schemas.microsoft.com/office/drawing/2014/main" id="{536762C2-9CA9-AD18-C12A-7443AD09D19E}"/>
            </a:ext>
          </a:extLst>
        </xdr:cNvPr>
        <xdr:cNvSpPr/>
      </xdr:nvSpPr>
      <xdr:spPr>
        <a:xfrm>
          <a:off x="9875520" y="23667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110</xdr:row>
      <xdr:rowOff>0</xdr:rowOff>
    </xdr:from>
    <xdr:to>
      <xdr:col>19</xdr:col>
      <xdr:colOff>76201</xdr:colOff>
      <xdr:row>111</xdr:row>
      <xdr:rowOff>1</xdr:rowOff>
    </xdr:to>
    <xdr:sp macro="" textlink="">
      <xdr:nvSpPr>
        <xdr:cNvPr id="39535" name="フリーフォーム: 図形 39534">
          <a:extLst>
            <a:ext uri="{FF2B5EF4-FFF2-40B4-BE49-F238E27FC236}">
              <a16:creationId xmlns:a16="http://schemas.microsoft.com/office/drawing/2014/main" id="{8CEE3845-B4E7-B07D-8ADB-BF95B64416D6}"/>
            </a:ext>
          </a:extLst>
        </xdr:cNvPr>
        <xdr:cNvSpPr/>
      </xdr:nvSpPr>
      <xdr:spPr>
        <a:xfrm>
          <a:off x="9875520" y="23896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111</xdr:row>
      <xdr:rowOff>0</xdr:rowOff>
    </xdr:from>
    <xdr:to>
      <xdr:col>19</xdr:col>
      <xdr:colOff>76201</xdr:colOff>
      <xdr:row>112</xdr:row>
      <xdr:rowOff>1</xdr:rowOff>
    </xdr:to>
    <xdr:sp macro="" textlink="">
      <xdr:nvSpPr>
        <xdr:cNvPr id="39536" name="フリーフォーム: 図形 39535">
          <a:extLst>
            <a:ext uri="{FF2B5EF4-FFF2-40B4-BE49-F238E27FC236}">
              <a16:creationId xmlns:a16="http://schemas.microsoft.com/office/drawing/2014/main" id="{04D20010-9C6D-73FE-E079-C4B471AE2C44}"/>
            </a:ext>
          </a:extLst>
        </xdr:cNvPr>
        <xdr:cNvSpPr/>
      </xdr:nvSpPr>
      <xdr:spPr>
        <a:xfrm>
          <a:off x="9875520" y="24124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112</xdr:row>
      <xdr:rowOff>0</xdr:rowOff>
    </xdr:from>
    <xdr:to>
      <xdr:col>19</xdr:col>
      <xdr:colOff>76201</xdr:colOff>
      <xdr:row>113</xdr:row>
      <xdr:rowOff>1</xdr:rowOff>
    </xdr:to>
    <xdr:sp macro="" textlink="">
      <xdr:nvSpPr>
        <xdr:cNvPr id="39537" name="フリーフォーム: 図形 39536">
          <a:extLst>
            <a:ext uri="{FF2B5EF4-FFF2-40B4-BE49-F238E27FC236}">
              <a16:creationId xmlns:a16="http://schemas.microsoft.com/office/drawing/2014/main" id="{F601C62E-D94E-2949-42B1-69375E98267D}"/>
            </a:ext>
          </a:extLst>
        </xdr:cNvPr>
        <xdr:cNvSpPr/>
      </xdr:nvSpPr>
      <xdr:spPr>
        <a:xfrm>
          <a:off x="9875520" y="24353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113</xdr:row>
      <xdr:rowOff>0</xdr:rowOff>
    </xdr:from>
    <xdr:to>
      <xdr:col>19</xdr:col>
      <xdr:colOff>76201</xdr:colOff>
      <xdr:row>114</xdr:row>
      <xdr:rowOff>1</xdr:rowOff>
    </xdr:to>
    <xdr:sp macro="" textlink="">
      <xdr:nvSpPr>
        <xdr:cNvPr id="39538" name="フリーフォーム: 図形 39537">
          <a:extLst>
            <a:ext uri="{FF2B5EF4-FFF2-40B4-BE49-F238E27FC236}">
              <a16:creationId xmlns:a16="http://schemas.microsoft.com/office/drawing/2014/main" id="{860437CC-F661-09C9-E47C-DBCBE2BC9F1E}"/>
            </a:ext>
          </a:extLst>
        </xdr:cNvPr>
        <xdr:cNvSpPr/>
      </xdr:nvSpPr>
      <xdr:spPr>
        <a:xfrm>
          <a:off x="9875520" y="24582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114</xdr:row>
      <xdr:rowOff>0</xdr:rowOff>
    </xdr:from>
    <xdr:to>
      <xdr:col>19</xdr:col>
      <xdr:colOff>76201</xdr:colOff>
      <xdr:row>115</xdr:row>
      <xdr:rowOff>1</xdr:rowOff>
    </xdr:to>
    <xdr:sp macro="" textlink="">
      <xdr:nvSpPr>
        <xdr:cNvPr id="39539" name="フリーフォーム: 図形 39538">
          <a:extLst>
            <a:ext uri="{FF2B5EF4-FFF2-40B4-BE49-F238E27FC236}">
              <a16:creationId xmlns:a16="http://schemas.microsoft.com/office/drawing/2014/main" id="{9B19FFF6-F333-FFBD-3D66-02D1BCB8E275}"/>
            </a:ext>
          </a:extLst>
        </xdr:cNvPr>
        <xdr:cNvSpPr/>
      </xdr:nvSpPr>
      <xdr:spPr>
        <a:xfrm>
          <a:off x="9875520" y="248107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115</xdr:row>
      <xdr:rowOff>0</xdr:rowOff>
    </xdr:from>
    <xdr:to>
      <xdr:col>19</xdr:col>
      <xdr:colOff>76201</xdr:colOff>
      <xdr:row>116</xdr:row>
      <xdr:rowOff>1</xdr:rowOff>
    </xdr:to>
    <xdr:sp macro="" textlink="">
      <xdr:nvSpPr>
        <xdr:cNvPr id="39540" name="フリーフォーム: 図形 39539">
          <a:extLst>
            <a:ext uri="{FF2B5EF4-FFF2-40B4-BE49-F238E27FC236}">
              <a16:creationId xmlns:a16="http://schemas.microsoft.com/office/drawing/2014/main" id="{FE7E5D5F-A6B5-4B63-6F14-434C6B8F4ABF}"/>
            </a:ext>
          </a:extLst>
        </xdr:cNvPr>
        <xdr:cNvSpPr/>
      </xdr:nvSpPr>
      <xdr:spPr>
        <a:xfrm>
          <a:off x="9875520" y="250393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116</xdr:row>
      <xdr:rowOff>0</xdr:rowOff>
    </xdr:from>
    <xdr:to>
      <xdr:col>19</xdr:col>
      <xdr:colOff>76201</xdr:colOff>
      <xdr:row>117</xdr:row>
      <xdr:rowOff>1</xdr:rowOff>
    </xdr:to>
    <xdr:sp macro="" textlink="">
      <xdr:nvSpPr>
        <xdr:cNvPr id="39541" name="フリーフォーム: 図形 39540">
          <a:extLst>
            <a:ext uri="{FF2B5EF4-FFF2-40B4-BE49-F238E27FC236}">
              <a16:creationId xmlns:a16="http://schemas.microsoft.com/office/drawing/2014/main" id="{673F41BA-22D0-F9B6-09CD-0D728FFA1491}"/>
            </a:ext>
          </a:extLst>
        </xdr:cNvPr>
        <xdr:cNvSpPr/>
      </xdr:nvSpPr>
      <xdr:spPr>
        <a:xfrm>
          <a:off x="9875520" y="252679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117</xdr:row>
      <xdr:rowOff>0</xdr:rowOff>
    </xdr:from>
    <xdr:to>
      <xdr:col>19</xdr:col>
      <xdr:colOff>76201</xdr:colOff>
      <xdr:row>118</xdr:row>
      <xdr:rowOff>1</xdr:rowOff>
    </xdr:to>
    <xdr:sp macro="" textlink="">
      <xdr:nvSpPr>
        <xdr:cNvPr id="39542" name="フリーフォーム: 図形 39541">
          <a:extLst>
            <a:ext uri="{FF2B5EF4-FFF2-40B4-BE49-F238E27FC236}">
              <a16:creationId xmlns:a16="http://schemas.microsoft.com/office/drawing/2014/main" id="{E92E5689-5BC2-DD59-B782-F940F2892EF9}"/>
            </a:ext>
          </a:extLst>
        </xdr:cNvPr>
        <xdr:cNvSpPr/>
      </xdr:nvSpPr>
      <xdr:spPr>
        <a:xfrm>
          <a:off x="9875520" y="254965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118</xdr:row>
      <xdr:rowOff>0</xdr:rowOff>
    </xdr:from>
    <xdr:to>
      <xdr:col>19</xdr:col>
      <xdr:colOff>76201</xdr:colOff>
      <xdr:row>119</xdr:row>
      <xdr:rowOff>1</xdr:rowOff>
    </xdr:to>
    <xdr:sp macro="" textlink="">
      <xdr:nvSpPr>
        <xdr:cNvPr id="39543" name="フリーフォーム: 図形 39542">
          <a:extLst>
            <a:ext uri="{FF2B5EF4-FFF2-40B4-BE49-F238E27FC236}">
              <a16:creationId xmlns:a16="http://schemas.microsoft.com/office/drawing/2014/main" id="{3EA9E8A8-C913-523A-D177-A651209ACA06}"/>
            </a:ext>
          </a:extLst>
        </xdr:cNvPr>
        <xdr:cNvSpPr/>
      </xdr:nvSpPr>
      <xdr:spPr>
        <a:xfrm>
          <a:off x="9875520" y="25725120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119</xdr:row>
      <xdr:rowOff>0</xdr:rowOff>
    </xdr:from>
    <xdr:to>
      <xdr:col>19</xdr:col>
      <xdr:colOff>76201</xdr:colOff>
      <xdr:row>120</xdr:row>
      <xdr:rowOff>2</xdr:rowOff>
    </xdr:to>
    <xdr:sp macro="" textlink="">
      <xdr:nvSpPr>
        <xdr:cNvPr id="39544" name="フリーフォーム: 図形 39543">
          <a:extLst>
            <a:ext uri="{FF2B5EF4-FFF2-40B4-BE49-F238E27FC236}">
              <a16:creationId xmlns:a16="http://schemas.microsoft.com/office/drawing/2014/main" id="{05CC872A-CBB5-2FEC-795C-68A5E5E1603F}"/>
            </a:ext>
          </a:extLst>
        </xdr:cNvPr>
        <xdr:cNvSpPr/>
      </xdr:nvSpPr>
      <xdr:spPr>
        <a:xfrm>
          <a:off x="9875520" y="25953720"/>
          <a:ext cx="1" cy="228602"/>
        </a:xfrm>
        <a:custGeom>
          <a:avLst/>
          <a:gdLst/>
          <a:ahLst/>
          <a:cxnLst/>
          <a:rect l="0" t="0" r="0" b="0"/>
          <a:pathLst>
            <a:path w="1" h="228602">
              <a:moveTo>
                <a:pt x="0" y="0"/>
              </a:moveTo>
              <a:lnTo>
                <a:pt x="0" y="114301"/>
              </a:lnTo>
              <a:lnTo>
                <a:pt x="0" y="228601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120</xdr:row>
      <xdr:rowOff>1</xdr:rowOff>
    </xdr:from>
    <xdr:to>
      <xdr:col>19</xdr:col>
      <xdr:colOff>76201</xdr:colOff>
      <xdr:row>121</xdr:row>
      <xdr:rowOff>2</xdr:rowOff>
    </xdr:to>
    <xdr:sp macro="" textlink="">
      <xdr:nvSpPr>
        <xdr:cNvPr id="39545" name="フリーフォーム: 図形 39544">
          <a:extLst>
            <a:ext uri="{FF2B5EF4-FFF2-40B4-BE49-F238E27FC236}">
              <a16:creationId xmlns:a16="http://schemas.microsoft.com/office/drawing/2014/main" id="{347B940A-946D-E1C8-AB6F-FEA3FBE4F518}"/>
            </a:ext>
          </a:extLst>
        </xdr:cNvPr>
        <xdr:cNvSpPr/>
      </xdr:nvSpPr>
      <xdr:spPr>
        <a:xfrm>
          <a:off x="9875520" y="261823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121</xdr:row>
      <xdr:rowOff>1</xdr:rowOff>
    </xdr:from>
    <xdr:to>
      <xdr:col>19</xdr:col>
      <xdr:colOff>76201</xdr:colOff>
      <xdr:row>122</xdr:row>
      <xdr:rowOff>2</xdr:rowOff>
    </xdr:to>
    <xdr:sp macro="" textlink="">
      <xdr:nvSpPr>
        <xdr:cNvPr id="39546" name="フリーフォーム: 図形 39545">
          <a:extLst>
            <a:ext uri="{FF2B5EF4-FFF2-40B4-BE49-F238E27FC236}">
              <a16:creationId xmlns:a16="http://schemas.microsoft.com/office/drawing/2014/main" id="{9D8C14FF-B361-5475-FB3E-84D9933F7CFB}"/>
            </a:ext>
          </a:extLst>
        </xdr:cNvPr>
        <xdr:cNvSpPr/>
      </xdr:nvSpPr>
      <xdr:spPr>
        <a:xfrm>
          <a:off x="9875520" y="264109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122</xdr:row>
      <xdr:rowOff>1</xdr:rowOff>
    </xdr:from>
    <xdr:to>
      <xdr:col>19</xdr:col>
      <xdr:colOff>76201</xdr:colOff>
      <xdr:row>123</xdr:row>
      <xdr:rowOff>2</xdr:rowOff>
    </xdr:to>
    <xdr:sp macro="" textlink="">
      <xdr:nvSpPr>
        <xdr:cNvPr id="39547" name="フリーフォーム: 図形 39546">
          <a:extLst>
            <a:ext uri="{FF2B5EF4-FFF2-40B4-BE49-F238E27FC236}">
              <a16:creationId xmlns:a16="http://schemas.microsoft.com/office/drawing/2014/main" id="{591F1216-38C1-55D9-C2CF-E9C53F4DE266}"/>
            </a:ext>
          </a:extLst>
        </xdr:cNvPr>
        <xdr:cNvSpPr/>
      </xdr:nvSpPr>
      <xdr:spPr>
        <a:xfrm>
          <a:off x="9875520" y="266395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123</xdr:row>
      <xdr:rowOff>1</xdr:rowOff>
    </xdr:from>
    <xdr:to>
      <xdr:col>19</xdr:col>
      <xdr:colOff>76201</xdr:colOff>
      <xdr:row>124</xdr:row>
      <xdr:rowOff>2</xdr:rowOff>
    </xdr:to>
    <xdr:sp macro="" textlink="">
      <xdr:nvSpPr>
        <xdr:cNvPr id="39548" name="フリーフォーム: 図形 39547">
          <a:extLst>
            <a:ext uri="{FF2B5EF4-FFF2-40B4-BE49-F238E27FC236}">
              <a16:creationId xmlns:a16="http://schemas.microsoft.com/office/drawing/2014/main" id="{7F610285-9106-44FF-D6A7-5B0D5B1738B1}"/>
            </a:ext>
          </a:extLst>
        </xdr:cNvPr>
        <xdr:cNvSpPr/>
      </xdr:nvSpPr>
      <xdr:spPr>
        <a:xfrm>
          <a:off x="9875520" y="268681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124</xdr:row>
      <xdr:rowOff>1</xdr:rowOff>
    </xdr:from>
    <xdr:to>
      <xdr:col>19</xdr:col>
      <xdr:colOff>76201</xdr:colOff>
      <xdr:row>125</xdr:row>
      <xdr:rowOff>2</xdr:rowOff>
    </xdr:to>
    <xdr:sp macro="" textlink="">
      <xdr:nvSpPr>
        <xdr:cNvPr id="39549" name="フリーフォーム: 図形 39548">
          <a:extLst>
            <a:ext uri="{FF2B5EF4-FFF2-40B4-BE49-F238E27FC236}">
              <a16:creationId xmlns:a16="http://schemas.microsoft.com/office/drawing/2014/main" id="{B459F0A9-53F0-07C6-A48B-152C48C8EF2B}"/>
            </a:ext>
          </a:extLst>
        </xdr:cNvPr>
        <xdr:cNvSpPr/>
      </xdr:nvSpPr>
      <xdr:spPr>
        <a:xfrm>
          <a:off x="9875520" y="270967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125</xdr:row>
      <xdr:rowOff>1</xdr:rowOff>
    </xdr:from>
    <xdr:to>
      <xdr:col>19</xdr:col>
      <xdr:colOff>76201</xdr:colOff>
      <xdr:row>126</xdr:row>
      <xdr:rowOff>2</xdr:rowOff>
    </xdr:to>
    <xdr:sp macro="" textlink="">
      <xdr:nvSpPr>
        <xdr:cNvPr id="39550" name="フリーフォーム: 図形 39549">
          <a:extLst>
            <a:ext uri="{FF2B5EF4-FFF2-40B4-BE49-F238E27FC236}">
              <a16:creationId xmlns:a16="http://schemas.microsoft.com/office/drawing/2014/main" id="{0A505DF8-47F2-F148-9298-8D8B4D1633B3}"/>
            </a:ext>
          </a:extLst>
        </xdr:cNvPr>
        <xdr:cNvSpPr/>
      </xdr:nvSpPr>
      <xdr:spPr>
        <a:xfrm>
          <a:off x="9875520" y="273253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126</xdr:row>
      <xdr:rowOff>1</xdr:rowOff>
    </xdr:from>
    <xdr:to>
      <xdr:col>19</xdr:col>
      <xdr:colOff>76201</xdr:colOff>
      <xdr:row>127</xdr:row>
      <xdr:rowOff>2</xdr:rowOff>
    </xdr:to>
    <xdr:sp macro="" textlink="">
      <xdr:nvSpPr>
        <xdr:cNvPr id="39551" name="フリーフォーム: 図形 39550">
          <a:extLst>
            <a:ext uri="{FF2B5EF4-FFF2-40B4-BE49-F238E27FC236}">
              <a16:creationId xmlns:a16="http://schemas.microsoft.com/office/drawing/2014/main" id="{4F760EF5-89B4-DB67-7A46-62C0AF04D356}"/>
            </a:ext>
          </a:extLst>
        </xdr:cNvPr>
        <xdr:cNvSpPr/>
      </xdr:nvSpPr>
      <xdr:spPr>
        <a:xfrm>
          <a:off x="9875520" y="275539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127</xdr:row>
      <xdr:rowOff>1</xdr:rowOff>
    </xdr:from>
    <xdr:to>
      <xdr:col>19</xdr:col>
      <xdr:colOff>76201</xdr:colOff>
      <xdr:row>128</xdr:row>
      <xdr:rowOff>2</xdr:rowOff>
    </xdr:to>
    <xdr:sp macro="" textlink="">
      <xdr:nvSpPr>
        <xdr:cNvPr id="192" name="フリーフォーム: 図形 191">
          <a:extLst>
            <a:ext uri="{FF2B5EF4-FFF2-40B4-BE49-F238E27FC236}">
              <a16:creationId xmlns:a16="http://schemas.microsoft.com/office/drawing/2014/main" id="{C498F134-124E-333E-E9C7-9B49A1725731}"/>
            </a:ext>
          </a:extLst>
        </xdr:cNvPr>
        <xdr:cNvSpPr/>
      </xdr:nvSpPr>
      <xdr:spPr>
        <a:xfrm>
          <a:off x="9875520" y="277825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128</xdr:row>
      <xdr:rowOff>1</xdr:rowOff>
    </xdr:from>
    <xdr:to>
      <xdr:col>19</xdr:col>
      <xdr:colOff>76201</xdr:colOff>
      <xdr:row>129</xdr:row>
      <xdr:rowOff>2</xdr:rowOff>
    </xdr:to>
    <xdr:sp macro="" textlink="">
      <xdr:nvSpPr>
        <xdr:cNvPr id="193" name="フリーフォーム: 図形 192">
          <a:extLst>
            <a:ext uri="{FF2B5EF4-FFF2-40B4-BE49-F238E27FC236}">
              <a16:creationId xmlns:a16="http://schemas.microsoft.com/office/drawing/2014/main" id="{9F5931BC-B783-EA61-2939-39E4C1B419F8}"/>
            </a:ext>
          </a:extLst>
        </xdr:cNvPr>
        <xdr:cNvSpPr/>
      </xdr:nvSpPr>
      <xdr:spPr>
        <a:xfrm>
          <a:off x="9875520" y="280111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129</xdr:row>
      <xdr:rowOff>1</xdr:rowOff>
    </xdr:from>
    <xdr:to>
      <xdr:col>19</xdr:col>
      <xdr:colOff>76201</xdr:colOff>
      <xdr:row>130</xdr:row>
      <xdr:rowOff>2</xdr:rowOff>
    </xdr:to>
    <xdr:sp macro="" textlink="">
      <xdr:nvSpPr>
        <xdr:cNvPr id="194" name="フリーフォーム: 図形 193">
          <a:extLst>
            <a:ext uri="{FF2B5EF4-FFF2-40B4-BE49-F238E27FC236}">
              <a16:creationId xmlns:a16="http://schemas.microsoft.com/office/drawing/2014/main" id="{D700BD45-22F0-2C4B-31B5-307737EF0311}"/>
            </a:ext>
          </a:extLst>
        </xdr:cNvPr>
        <xdr:cNvSpPr/>
      </xdr:nvSpPr>
      <xdr:spPr>
        <a:xfrm>
          <a:off x="9875520" y="282397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130</xdr:row>
      <xdr:rowOff>1</xdr:rowOff>
    </xdr:from>
    <xdr:to>
      <xdr:col>19</xdr:col>
      <xdr:colOff>76201</xdr:colOff>
      <xdr:row>131</xdr:row>
      <xdr:rowOff>2</xdr:rowOff>
    </xdr:to>
    <xdr:sp macro="" textlink="">
      <xdr:nvSpPr>
        <xdr:cNvPr id="196" name="フリーフォーム: 図形 195">
          <a:extLst>
            <a:ext uri="{FF2B5EF4-FFF2-40B4-BE49-F238E27FC236}">
              <a16:creationId xmlns:a16="http://schemas.microsoft.com/office/drawing/2014/main" id="{57545FDD-70B6-EDEB-9714-F77729C6AE52}"/>
            </a:ext>
          </a:extLst>
        </xdr:cNvPr>
        <xdr:cNvSpPr/>
      </xdr:nvSpPr>
      <xdr:spPr>
        <a:xfrm>
          <a:off x="9875520" y="284683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131</xdr:row>
      <xdr:rowOff>1</xdr:rowOff>
    </xdr:from>
    <xdr:to>
      <xdr:col>19</xdr:col>
      <xdr:colOff>76201</xdr:colOff>
      <xdr:row>132</xdr:row>
      <xdr:rowOff>2</xdr:rowOff>
    </xdr:to>
    <xdr:sp macro="" textlink="">
      <xdr:nvSpPr>
        <xdr:cNvPr id="197" name="フリーフォーム: 図形 196">
          <a:extLst>
            <a:ext uri="{FF2B5EF4-FFF2-40B4-BE49-F238E27FC236}">
              <a16:creationId xmlns:a16="http://schemas.microsoft.com/office/drawing/2014/main" id="{852496BD-B6C0-D6AA-AECA-C3B875A8EB67}"/>
            </a:ext>
          </a:extLst>
        </xdr:cNvPr>
        <xdr:cNvSpPr/>
      </xdr:nvSpPr>
      <xdr:spPr>
        <a:xfrm>
          <a:off x="9875520" y="286969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132</xdr:row>
      <xdr:rowOff>1</xdr:rowOff>
    </xdr:from>
    <xdr:to>
      <xdr:col>19</xdr:col>
      <xdr:colOff>76201</xdr:colOff>
      <xdr:row>133</xdr:row>
      <xdr:rowOff>2</xdr:rowOff>
    </xdr:to>
    <xdr:sp macro="" textlink="">
      <xdr:nvSpPr>
        <xdr:cNvPr id="198" name="フリーフォーム: 図形 197">
          <a:extLst>
            <a:ext uri="{FF2B5EF4-FFF2-40B4-BE49-F238E27FC236}">
              <a16:creationId xmlns:a16="http://schemas.microsoft.com/office/drawing/2014/main" id="{C0405043-EFC8-106A-BA77-48256417DDCB}"/>
            </a:ext>
          </a:extLst>
        </xdr:cNvPr>
        <xdr:cNvSpPr/>
      </xdr:nvSpPr>
      <xdr:spPr>
        <a:xfrm>
          <a:off x="9875520" y="289255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133</xdr:row>
      <xdr:rowOff>1</xdr:rowOff>
    </xdr:from>
    <xdr:to>
      <xdr:col>19</xdr:col>
      <xdr:colOff>76201</xdr:colOff>
      <xdr:row>134</xdr:row>
      <xdr:rowOff>2</xdr:rowOff>
    </xdr:to>
    <xdr:sp macro="" textlink="">
      <xdr:nvSpPr>
        <xdr:cNvPr id="199" name="フリーフォーム: 図形 198">
          <a:extLst>
            <a:ext uri="{FF2B5EF4-FFF2-40B4-BE49-F238E27FC236}">
              <a16:creationId xmlns:a16="http://schemas.microsoft.com/office/drawing/2014/main" id="{14381F21-CC9E-E432-7D19-D171A479E72D}"/>
            </a:ext>
          </a:extLst>
        </xdr:cNvPr>
        <xdr:cNvSpPr/>
      </xdr:nvSpPr>
      <xdr:spPr>
        <a:xfrm>
          <a:off x="9875520" y="291541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134</xdr:row>
      <xdr:rowOff>1</xdr:rowOff>
    </xdr:from>
    <xdr:to>
      <xdr:col>19</xdr:col>
      <xdr:colOff>76201</xdr:colOff>
      <xdr:row>135</xdr:row>
      <xdr:rowOff>2</xdr:rowOff>
    </xdr:to>
    <xdr:sp macro="" textlink="">
      <xdr:nvSpPr>
        <xdr:cNvPr id="200" name="フリーフォーム: 図形 199">
          <a:extLst>
            <a:ext uri="{FF2B5EF4-FFF2-40B4-BE49-F238E27FC236}">
              <a16:creationId xmlns:a16="http://schemas.microsoft.com/office/drawing/2014/main" id="{3D76B614-20E8-E468-6F14-A3380372C7FC}"/>
            </a:ext>
          </a:extLst>
        </xdr:cNvPr>
        <xdr:cNvSpPr/>
      </xdr:nvSpPr>
      <xdr:spPr>
        <a:xfrm>
          <a:off x="9875520" y="293827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135</xdr:row>
      <xdr:rowOff>1</xdr:rowOff>
    </xdr:from>
    <xdr:to>
      <xdr:col>19</xdr:col>
      <xdr:colOff>76201</xdr:colOff>
      <xdr:row>136</xdr:row>
      <xdr:rowOff>2</xdr:rowOff>
    </xdr:to>
    <xdr:sp macro="" textlink="">
      <xdr:nvSpPr>
        <xdr:cNvPr id="201" name="フリーフォーム: 図形 200">
          <a:extLst>
            <a:ext uri="{FF2B5EF4-FFF2-40B4-BE49-F238E27FC236}">
              <a16:creationId xmlns:a16="http://schemas.microsoft.com/office/drawing/2014/main" id="{73DDFB01-5E9E-029A-CB75-C9E2DCA2261F}"/>
            </a:ext>
          </a:extLst>
        </xdr:cNvPr>
        <xdr:cNvSpPr/>
      </xdr:nvSpPr>
      <xdr:spPr>
        <a:xfrm>
          <a:off x="9875520" y="296113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136</xdr:row>
      <xdr:rowOff>1</xdr:rowOff>
    </xdr:from>
    <xdr:to>
      <xdr:col>19</xdr:col>
      <xdr:colOff>76201</xdr:colOff>
      <xdr:row>137</xdr:row>
      <xdr:rowOff>2</xdr:rowOff>
    </xdr:to>
    <xdr:sp macro="" textlink="">
      <xdr:nvSpPr>
        <xdr:cNvPr id="202" name="フリーフォーム: 図形 201">
          <a:extLst>
            <a:ext uri="{FF2B5EF4-FFF2-40B4-BE49-F238E27FC236}">
              <a16:creationId xmlns:a16="http://schemas.microsoft.com/office/drawing/2014/main" id="{EEDB97EE-423A-B429-D703-6E419F484041}"/>
            </a:ext>
          </a:extLst>
        </xdr:cNvPr>
        <xdr:cNvSpPr/>
      </xdr:nvSpPr>
      <xdr:spPr>
        <a:xfrm>
          <a:off x="9875520" y="298399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137</xdr:row>
      <xdr:rowOff>1</xdr:rowOff>
    </xdr:from>
    <xdr:to>
      <xdr:col>19</xdr:col>
      <xdr:colOff>76201</xdr:colOff>
      <xdr:row>138</xdr:row>
      <xdr:rowOff>2</xdr:rowOff>
    </xdr:to>
    <xdr:sp macro="" textlink="">
      <xdr:nvSpPr>
        <xdr:cNvPr id="203" name="フリーフォーム: 図形 202">
          <a:extLst>
            <a:ext uri="{FF2B5EF4-FFF2-40B4-BE49-F238E27FC236}">
              <a16:creationId xmlns:a16="http://schemas.microsoft.com/office/drawing/2014/main" id="{ED3BBD32-00CC-99AA-C71C-C8D8BE8FBA8B}"/>
            </a:ext>
          </a:extLst>
        </xdr:cNvPr>
        <xdr:cNvSpPr/>
      </xdr:nvSpPr>
      <xdr:spPr>
        <a:xfrm>
          <a:off x="9875520" y="300685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138</xdr:row>
      <xdr:rowOff>1</xdr:rowOff>
    </xdr:from>
    <xdr:to>
      <xdr:col>19</xdr:col>
      <xdr:colOff>76201</xdr:colOff>
      <xdr:row>139</xdr:row>
      <xdr:rowOff>2</xdr:rowOff>
    </xdr:to>
    <xdr:sp macro="" textlink="">
      <xdr:nvSpPr>
        <xdr:cNvPr id="204" name="フリーフォーム: 図形 203">
          <a:extLst>
            <a:ext uri="{FF2B5EF4-FFF2-40B4-BE49-F238E27FC236}">
              <a16:creationId xmlns:a16="http://schemas.microsoft.com/office/drawing/2014/main" id="{1DCA0588-B5B4-0372-04FE-2573E7579498}"/>
            </a:ext>
          </a:extLst>
        </xdr:cNvPr>
        <xdr:cNvSpPr/>
      </xdr:nvSpPr>
      <xdr:spPr>
        <a:xfrm>
          <a:off x="9875520" y="302971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139</xdr:row>
      <xdr:rowOff>1</xdr:rowOff>
    </xdr:from>
    <xdr:to>
      <xdr:col>19</xdr:col>
      <xdr:colOff>76201</xdr:colOff>
      <xdr:row>140</xdr:row>
      <xdr:rowOff>2</xdr:rowOff>
    </xdr:to>
    <xdr:sp macro="" textlink="">
      <xdr:nvSpPr>
        <xdr:cNvPr id="205" name="フリーフォーム: 図形 204">
          <a:extLst>
            <a:ext uri="{FF2B5EF4-FFF2-40B4-BE49-F238E27FC236}">
              <a16:creationId xmlns:a16="http://schemas.microsoft.com/office/drawing/2014/main" id="{D82B4B3D-8468-1052-12D7-C6050381C5A9}"/>
            </a:ext>
          </a:extLst>
        </xdr:cNvPr>
        <xdr:cNvSpPr/>
      </xdr:nvSpPr>
      <xdr:spPr>
        <a:xfrm>
          <a:off x="9875520" y="305257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140</xdr:row>
      <xdr:rowOff>1</xdr:rowOff>
    </xdr:from>
    <xdr:to>
      <xdr:col>19</xdr:col>
      <xdr:colOff>76201</xdr:colOff>
      <xdr:row>141</xdr:row>
      <xdr:rowOff>2</xdr:rowOff>
    </xdr:to>
    <xdr:sp macro="" textlink="">
      <xdr:nvSpPr>
        <xdr:cNvPr id="206" name="フリーフォーム: 図形 205">
          <a:extLst>
            <a:ext uri="{FF2B5EF4-FFF2-40B4-BE49-F238E27FC236}">
              <a16:creationId xmlns:a16="http://schemas.microsoft.com/office/drawing/2014/main" id="{4DB9C0F3-F226-C73B-DBF8-D306BFFEEA89}"/>
            </a:ext>
          </a:extLst>
        </xdr:cNvPr>
        <xdr:cNvSpPr/>
      </xdr:nvSpPr>
      <xdr:spPr>
        <a:xfrm>
          <a:off x="9875520" y="307543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141</xdr:row>
      <xdr:rowOff>1</xdr:rowOff>
    </xdr:from>
    <xdr:to>
      <xdr:col>19</xdr:col>
      <xdr:colOff>76201</xdr:colOff>
      <xdr:row>142</xdr:row>
      <xdr:rowOff>2</xdr:rowOff>
    </xdr:to>
    <xdr:sp macro="" textlink="">
      <xdr:nvSpPr>
        <xdr:cNvPr id="207" name="フリーフォーム: 図形 206">
          <a:extLst>
            <a:ext uri="{FF2B5EF4-FFF2-40B4-BE49-F238E27FC236}">
              <a16:creationId xmlns:a16="http://schemas.microsoft.com/office/drawing/2014/main" id="{EF1E7636-54B5-BF79-AC1D-E4137C8FC908}"/>
            </a:ext>
          </a:extLst>
        </xdr:cNvPr>
        <xdr:cNvSpPr/>
      </xdr:nvSpPr>
      <xdr:spPr>
        <a:xfrm>
          <a:off x="9875520" y="309829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142</xdr:row>
      <xdr:rowOff>1</xdr:rowOff>
    </xdr:from>
    <xdr:to>
      <xdr:col>19</xdr:col>
      <xdr:colOff>76201</xdr:colOff>
      <xdr:row>143</xdr:row>
      <xdr:rowOff>2</xdr:rowOff>
    </xdr:to>
    <xdr:sp macro="" textlink="">
      <xdr:nvSpPr>
        <xdr:cNvPr id="208" name="フリーフォーム: 図形 207">
          <a:extLst>
            <a:ext uri="{FF2B5EF4-FFF2-40B4-BE49-F238E27FC236}">
              <a16:creationId xmlns:a16="http://schemas.microsoft.com/office/drawing/2014/main" id="{23F5D721-8E09-14B2-3C24-036D077C2E0C}"/>
            </a:ext>
          </a:extLst>
        </xdr:cNvPr>
        <xdr:cNvSpPr/>
      </xdr:nvSpPr>
      <xdr:spPr>
        <a:xfrm>
          <a:off x="9875520" y="312115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143</xdr:row>
      <xdr:rowOff>1</xdr:rowOff>
    </xdr:from>
    <xdr:to>
      <xdr:col>19</xdr:col>
      <xdr:colOff>76201</xdr:colOff>
      <xdr:row>144</xdr:row>
      <xdr:rowOff>2</xdr:rowOff>
    </xdr:to>
    <xdr:sp macro="" textlink="">
      <xdr:nvSpPr>
        <xdr:cNvPr id="209" name="フリーフォーム: 図形 208">
          <a:extLst>
            <a:ext uri="{FF2B5EF4-FFF2-40B4-BE49-F238E27FC236}">
              <a16:creationId xmlns:a16="http://schemas.microsoft.com/office/drawing/2014/main" id="{E08F77A1-9CE7-5041-BE98-865B1C475A14}"/>
            </a:ext>
          </a:extLst>
        </xdr:cNvPr>
        <xdr:cNvSpPr/>
      </xdr:nvSpPr>
      <xdr:spPr>
        <a:xfrm>
          <a:off x="9875520" y="314401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144</xdr:row>
      <xdr:rowOff>1</xdr:rowOff>
    </xdr:from>
    <xdr:to>
      <xdr:col>19</xdr:col>
      <xdr:colOff>76201</xdr:colOff>
      <xdr:row>145</xdr:row>
      <xdr:rowOff>2</xdr:rowOff>
    </xdr:to>
    <xdr:sp macro="" textlink="">
      <xdr:nvSpPr>
        <xdr:cNvPr id="210" name="フリーフォーム: 図形 209">
          <a:extLst>
            <a:ext uri="{FF2B5EF4-FFF2-40B4-BE49-F238E27FC236}">
              <a16:creationId xmlns:a16="http://schemas.microsoft.com/office/drawing/2014/main" id="{B3FB433C-0CF0-EB68-A0D7-92822316BDC4}"/>
            </a:ext>
          </a:extLst>
        </xdr:cNvPr>
        <xdr:cNvSpPr/>
      </xdr:nvSpPr>
      <xdr:spPr>
        <a:xfrm>
          <a:off x="9875520" y="316687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145</xdr:row>
      <xdr:rowOff>1</xdr:rowOff>
    </xdr:from>
    <xdr:to>
      <xdr:col>19</xdr:col>
      <xdr:colOff>76201</xdr:colOff>
      <xdr:row>146</xdr:row>
      <xdr:rowOff>2</xdr:rowOff>
    </xdr:to>
    <xdr:sp macro="" textlink="">
      <xdr:nvSpPr>
        <xdr:cNvPr id="211" name="フリーフォーム: 図形 210">
          <a:extLst>
            <a:ext uri="{FF2B5EF4-FFF2-40B4-BE49-F238E27FC236}">
              <a16:creationId xmlns:a16="http://schemas.microsoft.com/office/drawing/2014/main" id="{F18D4209-3BAC-49D0-5D33-DDFE80ADE7A0}"/>
            </a:ext>
          </a:extLst>
        </xdr:cNvPr>
        <xdr:cNvSpPr/>
      </xdr:nvSpPr>
      <xdr:spPr>
        <a:xfrm>
          <a:off x="9875520" y="318973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146</xdr:row>
      <xdr:rowOff>1</xdr:rowOff>
    </xdr:from>
    <xdr:to>
      <xdr:col>19</xdr:col>
      <xdr:colOff>76201</xdr:colOff>
      <xdr:row>147</xdr:row>
      <xdr:rowOff>2</xdr:rowOff>
    </xdr:to>
    <xdr:sp macro="" textlink="">
      <xdr:nvSpPr>
        <xdr:cNvPr id="212" name="フリーフォーム: 図形 211">
          <a:extLst>
            <a:ext uri="{FF2B5EF4-FFF2-40B4-BE49-F238E27FC236}">
              <a16:creationId xmlns:a16="http://schemas.microsoft.com/office/drawing/2014/main" id="{608B0C34-32E6-FD9A-DB66-BAF3AA64D8C6}"/>
            </a:ext>
          </a:extLst>
        </xdr:cNvPr>
        <xdr:cNvSpPr/>
      </xdr:nvSpPr>
      <xdr:spPr>
        <a:xfrm>
          <a:off x="9875520" y="321259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147</xdr:row>
      <xdr:rowOff>1</xdr:rowOff>
    </xdr:from>
    <xdr:to>
      <xdr:col>19</xdr:col>
      <xdr:colOff>76201</xdr:colOff>
      <xdr:row>148</xdr:row>
      <xdr:rowOff>2</xdr:rowOff>
    </xdr:to>
    <xdr:sp macro="" textlink="">
      <xdr:nvSpPr>
        <xdr:cNvPr id="213" name="フリーフォーム: 図形 212">
          <a:extLst>
            <a:ext uri="{FF2B5EF4-FFF2-40B4-BE49-F238E27FC236}">
              <a16:creationId xmlns:a16="http://schemas.microsoft.com/office/drawing/2014/main" id="{68A9088B-25E4-54BF-9FE6-C9FCF12CE280}"/>
            </a:ext>
          </a:extLst>
        </xdr:cNvPr>
        <xdr:cNvSpPr/>
      </xdr:nvSpPr>
      <xdr:spPr>
        <a:xfrm>
          <a:off x="9875520" y="323545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148</xdr:row>
      <xdr:rowOff>1</xdr:rowOff>
    </xdr:from>
    <xdr:to>
      <xdr:col>19</xdr:col>
      <xdr:colOff>76201</xdr:colOff>
      <xdr:row>149</xdr:row>
      <xdr:rowOff>2</xdr:rowOff>
    </xdr:to>
    <xdr:sp macro="" textlink="">
      <xdr:nvSpPr>
        <xdr:cNvPr id="214" name="フリーフォーム: 図形 213">
          <a:extLst>
            <a:ext uri="{FF2B5EF4-FFF2-40B4-BE49-F238E27FC236}">
              <a16:creationId xmlns:a16="http://schemas.microsoft.com/office/drawing/2014/main" id="{B802110E-D2A6-3340-7BA1-C70D13642D5B}"/>
            </a:ext>
          </a:extLst>
        </xdr:cNvPr>
        <xdr:cNvSpPr/>
      </xdr:nvSpPr>
      <xdr:spPr>
        <a:xfrm>
          <a:off x="9875520" y="325831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149</xdr:row>
      <xdr:rowOff>1</xdr:rowOff>
    </xdr:from>
    <xdr:to>
      <xdr:col>19</xdr:col>
      <xdr:colOff>76201</xdr:colOff>
      <xdr:row>150</xdr:row>
      <xdr:rowOff>2</xdr:rowOff>
    </xdr:to>
    <xdr:sp macro="" textlink="">
      <xdr:nvSpPr>
        <xdr:cNvPr id="215" name="フリーフォーム: 図形 214">
          <a:extLst>
            <a:ext uri="{FF2B5EF4-FFF2-40B4-BE49-F238E27FC236}">
              <a16:creationId xmlns:a16="http://schemas.microsoft.com/office/drawing/2014/main" id="{9A581D32-F726-BD8E-4F26-ECF2B92BCE2B}"/>
            </a:ext>
          </a:extLst>
        </xdr:cNvPr>
        <xdr:cNvSpPr/>
      </xdr:nvSpPr>
      <xdr:spPr>
        <a:xfrm>
          <a:off x="9875520" y="328117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150</xdr:row>
      <xdr:rowOff>1</xdr:rowOff>
    </xdr:from>
    <xdr:to>
      <xdr:col>19</xdr:col>
      <xdr:colOff>76201</xdr:colOff>
      <xdr:row>151</xdr:row>
      <xdr:rowOff>2</xdr:rowOff>
    </xdr:to>
    <xdr:sp macro="" textlink="">
      <xdr:nvSpPr>
        <xdr:cNvPr id="216" name="フリーフォーム: 図形 215">
          <a:extLst>
            <a:ext uri="{FF2B5EF4-FFF2-40B4-BE49-F238E27FC236}">
              <a16:creationId xmlns:a16="http://schemas.microsoft.com/office/drawing/2014/main" id="{F5BCE68A-82E9-F9C2-9C07-C4A4F15BC1A0}"/>
            </a:ext>
          </a:extLst>
        </xdr:cNvPr>
        <xdr:cNvSpPr/>
      </xdr:nvSpPr>
      <xdr:spPr>
        <a:xfrm>
          <a:off x="9875520" y="330403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151</xdr:row>
      <xdr:rowOff>1</xdr:rowOff>
    </xdr:from>
    <xdr:to>
      <xdr:col>19</xdr:col>
      <xdr:colOff>76201</xdr:colOff>
      <xdr:row>152</xdr:row>
      <xdr:rowOff>2</xdr:rowOff>
    </xdr:to>
    <xdr:sp macro="" textlink="">
      <xdr:nvSpPr>
        <xdr:cNvPr id="217" name="フリーフォーム: 図形 216">
          <a:extLst>
            <a:ext uri="{FF2B5EF4-FFF2-40B4-BE49-F238E27FC236}">
              <a16:creationId xmlns:a16="http://schemas.microsoft.com/office/drawing/2014/main" id="{3E509234-BD1B-7AF9-E81A-04EA3034C7FB}"/>
            </a:ext>
          </a:extLst>
        </xdr:cNvPr>
        <xdr:cNvSpPr/>
      </xdr:nvSpPr>
      <xdr:spPr>
        <a:xfrm>
          <a:off x="9875520" y="332689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152</xdr:row>
      <xdr:rowOff>1</xdr:rowOff>
    </xdr:from>
    <xdr:to>
      <xdr:col>19</xdr:col>
      <xdr:colOff>76201</xdr:colOff>
      <xdr:row>153</xdr:row>
      <xdr:rowOff>2</xdr:rowOff>
    </xdr:to>
    <xdr:sp macro="" textlink="">
      <xdr:nvSpPr>
        <xdr:cNvPr id="218" name="フリーフォーム: 図形 217">
          <a:extLst>
            <a:ext uri="{FF2B5EF4-FFF2-40B4-BE49-F238E27FC236}">
              <a16:creationId xmlns:a16="http://schemas.microsoft.com/office/drawing/2014/main" id="{F4530C51-201C-050A-FD78-5F23C60D65B2}"/>
            </a:ext>
          </a:extLst>
        </xdr:cNvPr>
        <xdr:cNvSpPr/>
      </xdr:nvSpPr>
      <xdr:spPr>
        <a:xfrm>
          <a:off x="9875520" y="334975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153</xdr:row>
      <xdr:rowOff>1</xdr:rowOff>
    </xdr:from>
    <xdr:to>
      <xdr:col>19</xdr:col>
      <xdr:colOff>76201</xdr:colOff>
      <xdr:row>154</xdr:row>
      <xdr:rowOff>2</xdr:rowOff>
    </xdr:to>
    <xdr:sp macro="" textlink="">
      <xdr:nvSpPr>
        <xdr:cNvPr id="219" name="フリーフォーム: 図形 218">
          <a:extLst>
            <a:ext uri="{FF2B5EF4-FFF2-40B4-BE49-F238E27FC236}">
              <a16:creationId xmlns:a16="http://schemas.microsoft.com/office/drawing/2014/main" id="{259F34ED-C3B6-D762-663D-29D52C76F1DC}"/>
            </a:ext>
          </a:extLst>
        </xdr:cNvPr>
        <xdr:cNvSpPr/>
      </xdr:nvSpPr>
      <xdr:spPr>
        <a:xfrm>
          <a:off x="9875520" y="337261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154</xdr:row>
      <xdr:rowOff>1</xdr:rowOff>
    </xdr:from>
    <xdr:to>
      <xdr:col>19</xdr:col>
      <xdr:colOff>76201</xdr:colOff>
      <xdr:row>155</xdr:row>
      <xdr:rowOff>2</xdr:rowOff>
    </xdr:to>
    <xdr:sp macro="" textlink="">
      <xdr:nvSpPr>
        <xdr:cNvPr id="220" name="フリーフォーム: 図形 219">
          <a:extLst>
            <a:ext uri="{FF2B5EF4-FFF2-40B4-BE49-F238E27FC236}">
              <a16:creationId xmlns:a16="http://schemas.microsoft.com/office/drawing/2014/main" id="{A62DF708-F537-597C-704E-52AACE53574D}"/>
            </a:ext>
          </a:extLst>
        </xdr:cNvPr>
        <xdr:cNvSpPr/>
      </xdr:nvSpPr>
      <xdr:spPr>
        <a:xfrm>
          <a:off x="9875520" y="339547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155</xdr:row>
      <xdr:rowOff>1</xdr:rowOff>
    </xdr:from>
    <xdr:to>
      <xdr:col>19</xdr:col>
      <xdr:colOff>76201</xdr:colOff>
      <xdr:row>156</xdr:row>
      <xdr:rowOff>2</xdr:rowOff>
    </xdr:to>
    <xdr:sp macro="" textlink="">
      <xdr:nvSpPr>
        <xdr:cNvPr id="221" name="フリーフォーム: 図形 220">
          <a:extLst>
            <a:ext uri="{FF2B5EF4-FFF2-40B4-BE49-F238E27FC236}">
              <a16:creationId xmlns:a16="http://schemas.microsoft.com/office/drawing/2014/main" id="{957FACAF-07D1-5776-6E3C-92BBB6BF6BC3}"/>
            </a:ext>
          </a:extLst>
        </xdr:cNvPr>
        <xdr:cNvSpPr/>
      </xdr:nvSpPr>
      <xdr:spPr>
        <a:xfrm>
          <a:off x="9875520" y="341833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156</xdr:row>
      <xdr:rowOff>1</xdr:rowOff>
    </xdr:from>
    <xdr:to>
      <xdr:col>19</xdr:col>
      <xdr:colOff>76201</xdr:colOff>
      <xdr:row>157</xdr:row>
      <xdr:rowOff>2</xdr:rowOff>
    </xdr:to>
    <xdr:sp macro="" textlink="">
      <xdr:nvSpPr>
        <xdr:cNvPr id="222" name="フリーフォーム: 図形 221">
          <a:extLst>
            <a:ext uri="{FF2B5EF4-FFF2-40B4-BE49-F238E27FC236}">
              <a16:creationId xmlns:a16="http://schemas.microsoft.com/office/drawing/2014/main" id="{849DAC43-8EB3-91C4-99FC-FB73FD3AB719}"/>
            </a:ext>
          </a:extLst>
        </xdr:cNvPr>
        <xdr:cNvSpPr/>
      </xdr:nvSpPr>
      <xdr:spPr>
        <a:xfrm>
          <a:off x="9875520" y="344119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157</xdr:row>
      <xdr:rowOff>1</xdr:rowOff>
    </xdr:from>
    <xdr:to>
      <xdr:col>19</xdr:col>
      <xdr:colOff>76201</xdr:colOff>
      <xdr:row>158</xdr:row>
      <xdr:rowOff>2</xdr:rowOff>
    </xdr:to>
    <xdr:sp macro="" textlink="">
      <xdr:nvSpPr>
        <xdr:cNvPr id="223" name="フリーフォーム: 図形 222">
          <a:extLst>
            <a:ext uri="{FF2B5EF4-FFF2-40B4-BE49-F238E27FC236}">
              <a16:creationId xmlns:a16="http://schemas.microsoft.com/office/drawing/2014/main" id="{DB928212-640C-76A0-1999-784759274D23}"/>
            </a:ext>
          </a:extLst>
        </xdr:cNvPr>
        <xdr:cNvSpPr/>
      </xdr:nvSpPr>
      <xdr:spPr>
        <a:xfrm>
          <a:off x="9875520" y="346405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158</xdr:row>
      <xdr:rowOff>1</xdr:rowOff>
    </xdr:from>
    <xdr:to>
      <xdr:col>19</xdr:col>
      <xdr:colOff>76201</xdr:colOff>
      <xdr:row>159</xdr:row>
      <xdr:rowOff>2</xdr:rowOff>
    </xdr:to>
    <xdr:sp macro="" textlink="">
      <xdr:nvSpPr>
        <xdr:cNvPr id="224" name="フリーフォーム: 図形 223">
          <a:extLst>
            <a:ext uri="{FF2B5EF4-FFF2-40B4-BE49-F238E27FC236}">
              <a16:creationId xmlns:a16="http://schemas.microsoft.com/office/drawing/2014/main" id="{C4236A51-BC2E-FCDD-E329-4A4729293FF9}"/>
            </a:ext>
          </a:extLst>
        </xdr:cNvPr>
        <xdr:cNvSpPr/>
      </xdr:nvSpPr>
      <xdr:spPr>
        <a:xfrm>
          <a:off x="9875520" y="348691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159</xdr:row>
      <xdr:rowOff>1</xdr:rowOff>
    </xdr:from>
    <xdr:to>
      <xdr:col>19</xdr:col>
      <xdr:colOff>76201</xdr:colOff>
      <xdr:row>160</xdr:row>
      <xdr:rowOff>2</xdr:rowOff>
    </xdr:to>
    <xdr:sp macro="" textlink="">
      <xdr:nvSpPr>
        <xdr:cNvPr id="225" name="フリーフォーム: 図形 224">
          <a:extLst>
            <a:ext uri="{FF2B5EF4-FFF2-40B4-BE49-F238E27FC236}">
              <a16:creationId xmlns:a16="http://schemas.microsoft.com/office/drawing/2014/main" id="{93126AAD-BE7A-2870-445D-02566DF6A309}"/>
            </a:ext>
          </a:extLst>
        </xdr:cNvPr>
        <xdr:cNvSpPr/>
      </xdr:nvSpPr>
      <xdr:spPr>
        <a:xfrm>
          <a:off x="9875520" y="350977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160</xdr:row>
      <xdr:rowOff>1</xdr:rowOff>
    </xdr:from>
    <xdr:to>
      <xdr:col>19</xdr:col>
      <xdr:colOff>76201</xdr:colOff>
      <xdr:row>161</xdr:row>
      <xdr:rowOff>2</xdr:rowOff>
    </xdr:to>
    <xdr:sp macro="" textlink="">
      <xdr:nvSpPr>
        <xdr:cNvPr id="226" name="フリーフォーム: 図形 225">
          <a:extLst>
            <a:ext uri="{FF2B5EF4-FFF2-40B4-BE49-F238E27FC236}">
              <a16:creationId xmlns:a16="http://schemas.microsoft.com/office/drawing/2014/main" id="{FAA3AF80-88BB-0D43-47B9-C842797CBA15}"/>
            </a:ext>
          </a:extLst>
        </xdr:cNvPr>
        <xdr:cNvSpPr/>
      </xdr:nvSpPr>
      <xdr:spPr>
        <a:xfrm>
          <a:off x="9875520" y="353263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161</xdr:row>
      <xdr:rowOff>1</xdr:rowOff>
    </xdr:from>
    <xdr:to>
      <xdr:col>19</xdr:col>
      <xdr:colOff>76201</xdr:colOff>
      <xdr:row>162</xdr:row>
      <xdr:rowOff>2</xdr:rowOff>
    </xdr:to>
    <xdr:sp macro="" textlink="">
      <xdr:nvSpPr>
        <xdr:cNvPr id="227" name="フリーフォーム: 図形 226">
          <a:extLst>
            <a:ext uri="{FF2B5EF4-FFF2-40B4-BE49-F238E27FC236}">
              <a16:creationId xmlns:a16="http://schemas.microsoft.com/office/drawing/2014/main" id="{5F980C91-28F3-1E38-FB2D-213FF2E7EBE2}"/>
            </a:ext>
          </a:extLst>
        </xdr:cNvPr>
        <xdr:cNvSpPr/>
      </xdr:nvSpPr>
      <xdr:spPr>
        <a:xfrm>
          <a:off x="9875520" y="355549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162</xdr:row>
      <xdr:rowOff>1</xdr:rowOff>
    </xdr:from>
    <xdr:to>
      <xdr:col>19</xdr:col>
      <xdr:colOff>76201</xdr:colOff>
      <xdr:row>163</xdr:row>
      <xdr:rowOff>2</xdr:rowOff>
    </xdr:to>
    <xdr:sp macro="" textlink="">
      <xdr:nvSpPr>
        <xdr:cNvPr id="228" name="フリーフォーム: 図形 227">
          <a:extLst>
            <a:ext uri="{FF2B5EF4-FFF2-40B4-BE49-F238E27FC236}">
              <a16:creationId xmlns:a16="http://schemas.microsoft.com/office/drawing/2014/main" id="{E65B0330-1F01-4BFA-71C2-BFB77CBC51AD}"/>
            </a:ext>
          </a:extLst>
        </xdr:cNvPr>
        <xdr:cNvSpPr/>
      </xdr:nvSpPr>
      <xdr:spPr>
        <a:xfrm>
          <a:off x="9875520" y="357835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163</xdr:row>
      <xdr:rowOff>1</xdr:rowOff>
    </xdr:from>
    <xdr:to>
      <xdr:col>19</xdr:col>
      <xdr:colOff>76201</xdr:colOff>
      <xdr:row>164</xdr:row>
      <xdr:rowOff>2</xdr:rowOff>
    </xdr:to>
    <xdr:sp macro="" textlink="">
      <xdr:nvSpPr>
        <xdr:cNvPr id="229" name="フリーフォーム: 図形 228">
          <a:extLst>
            <a:ext uri="{FF2B5EF4-FFF2-40B4-BE49-F238E27FC236}">
              <a16:creationId xmlns:a16="http://schemas.microsoft.com/office/drawing/2014/main" id="{EE2E3FE0-8937-5C6D-FFB8-0637B1CE8F78}"/>
            </a:ext>
          </a:extLst>
        </xdr:cNvPr>
        <xdr:cNvSpPr/>
      </xdr:nvSpPr>
      <xdr:spPr>
        <a:xfrm>
          <a:off x="9875520" y="360121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164</xdr:row>
      <xdr:rowOff>1</xdr:rowOff>
    </xdr:from>
    <xdr:to>
      <xdr:col>19</xdr:col>
      <xdr:colOff>76201</xdr:colOff>
      <xdr:row>165</xdr:row>
      <xdr:rowOff>2</xdr:rowOff>
    </xdr:to>
    <xdr:sp macro="" textlink="">
      <xdr:nvSpPr>
        <xdr:cNvPr id="230" name="フリーフォーム: 図形 229">
          <a:extLst>
            <a:ext uri="{FF2B5EF4-FFF2-40B4-BE49-F238E27FC236}">
              <a16:creationId xmlns:a16="http://schemas.microsoft.com/office/drawing/2014/main" id="{A975CEE7-6F60-1916-2818-1D152E6A8C46}"/>
            </a:ext>
          </a:extLst>
        </xdr:cNvPr>
        <xdr:cNvSpPr/>
      </xdr:nvSpPr>
      <xdr:spPr>
        <a:xfrm>
          <a:off x="9875520" y="362407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165</xdr:row>
      <xdr:rowOff>1</xdr:rowOff>
    </xdr:from>
    <xdr:to>
      <xdr:col>19</xdr:col>
      <xdr:colOff>76201</xdr:colOff>
      <xdr:row>166</xdr:row>
      <xdr:rowOff>2</xdr:rowOff>
    </xdr:to>
    <xdr:sp macro="" textlink="">
      <xdr:nvSpPr>
        <xdr:cNvPr id="231" name="フリーフォーム: 図形 230">
          <a:extLst>
            <a:ext uri="{FF2B5EF4-FFF2-40B4-BE49-F238E27FC236}">
              <a16:creationId xmlns:a16="http://schemas.microsoft.com/office/drawing/2014/main" id="{58DA0BCC-E03B-B90A-7509-670D54486810}"/>
            </a:ext>
          </a:extLst>
        </xdr:cNvPr>
        <xdr:cNvSpPr/>
      </xdr:nvSpPr>
      <xdr:spPr>
        <a:xfrm>
          <a:off x="9875520" y="364693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166</xdr:row>
      <xdr:rowOff>1</xdr:rowOff>
    </xdr:from>
    <xdr:to>
      <xdr:col>19</xdr:col>
      <xdr:colOff>76201</xdr:colOff>
      <xdr:row>167</xdr:row>
      <xdr:rowOff>2</xdr:rowOff>
    </xdr:to>
    <xdr:sp macro="" textlink="">
      <xdr:nvSpPr>
        <xdr:cNvPr id="232" name="フリーフォーム: 図形 231">
          <a:extLst>
            <a:ext uri="{FF2B5EF4-FFF2-40B4-BE49-F238E27FC236}">
              <a16:creationId xmlns:a16="http://schemas.microsoft.com/office/drawing/2014/main" id="{14830003-C932-BBE3-EFCF-0B85DDA2B1F2}"/>
            </a:ext>
          </a:extLst>
        </xdr:cNvPr>
        <xdr:cNvSpPr/>
      </xdr:nvSpPr>
      <xdr:spPr>
        <a:xfrm>
          <a:off x="9875520" y="366979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167</xdr:row>
      <xdr:rowOff>1</xdr:rowOff>
    </xdr:from>
    <xdr:to>
      <xdr:col>19</xdr:col>
      <xdr:colOff>76201</xdr:colOff>
      <xdr:row>168</xdr:row>
      <xdr:rowOff>2</xdr:rowOff>
    </xdr:to>
    <xdr:sp macro="" textlink="">
      <xdr:nvSpPr>
        <xdr:cNvPr id="233" name="フリーフォーム: 図形 232">
          <a:extLst>
            <a:ext uri="{FF2B5EF4-FFF2-40B4-BE49-F238E27FC236}">
              <a16:creationId xmlns:a16="http://schemas.microsoft.com/office/drawing/2014/main" id="{70425715-9C41-2FB8-F51F-79A272D4397A}"/>
            </a:ext>
          </a:extLst>
        </xdr:cNvPr>
        <xdr:cNvSpPr/>
      </xdr:nvSpPr>
      <xdr:spPr>
        <a:xfrm>
          <a:off x="9875520" y="369265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19</xdr:col>
      <xdr:colOff>76200</xdr:colOff>
      <xdr:row>168</xdr:row>
      <xdr:rowOff>1</xdr:rowOff>
    </xdr:from>
    <xdr:to>
      <xdr:col>19</xdr:col>
      <xdr:colOff>76201</xdr:colOff>
      <xdr:row>169</xdr:row>
      <xdr:rowOff>2</xdr:rowOff>
    </xdr:to>
    <xdr:sp macro="" textlink="">
      <xdr:nvSpPr>
        <xdr:cNvPr id="234" name="フリーフォーム: 図形 233">
          <a:extLst>
            <a:ext uri="{FF2B5EF4-FFF2-40B4-BE49-F238E27FC236}">
              <a16:creationId xmlns:a16="http://schemas.microsoft.com/office/drawing/2014/main" id="{3695EA31-70F2-641C-EB6A-47A4585231BE}"/>
            </a:ext>
          </a:extLst>
        </xdr:cNvPr>
        <xdr:cNvSpPr/>
      </xdr:nvSpPr>
      <xdr:spPr>
        <a:xfrm>
          <a:off x="9875520" y="37155121"/>
          <a:ext cx="1" cy="228601"/>
        </a:xfrm>
        <a:custGeom>
          <a:avLst/>
          <a:gdLst/>
          <a:ahLst/>
          <a:cxnLst/>
          <a:rect l="0" t="0" r="0" b="0"/>
          <a:pathLst>
            <a:path w="1" h="228601">
              <a:moveTo>
                <a:pt x="0" y="0"/>
              </a:moveTo>
              <a:lnTo>
                <a:pt x="0" y="114300"/>
              </a:lnTo>
              <a:lnTo>
                <a:pt x="0" y="228600"/>
              </a:lnTo>
            </a:path>
          </a:pathLst>
        </a:custGeom>
        <a:ln w="28575" cap="flat" cmpd="sng" algn="ctr">
          <a:solidFill>
            <a:srgbClr val="F90000"/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</xdr:colOff>
      <xdr:row>26</xdr:row>
      <xdr:rowOff>53340</xdr:rowOff>
    </xdr:from>
    <xdr:to>
      <xdr:col>16</xdr:col>
      <xdr:colOff>533400</xdr:colOff>
      <xdr:row>57</xdr:row>
      <xdr:rowOff>160020</xdr:rowOff>
    </xdr:to>
    <xdr:pic>
      <xdr:nvPicPr>
        <xdr:cNvPr id="36454" name="図 21">
          <a:extLst>
            <a:ext uri="{FF2B5EF4-FFF2-40B4-BE49-F238E27FC236}">
              <a16:creationId xmlns:a16="http://schemas.microsoft.com/office/drawing/2014/main" id="{5702329E-2DCC-F3D0-5560-9DA2F0261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8161020"/>
          <a:ext cx="8549640" cy="5303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223202</xdr:colOff>
      <xdr:row>20</xdr:row>
      <xdr:rowOff>154783</xdr:rowOff>
    </xdr:from>
    <xdr:to>
      <xdr:col>10</xdr:col>
      <xdr:colOff>487004</xdr:colOff>
      <xdr:row>24</xdr:row>
      <xdr:rowOff>83342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E0293B43-4472-6649-691F-F0F4E444325B}"/>
            </a:ext>
          </a:extLst>
        </xdr:cNvPr>
        <xdr:cNvSpPr/>
      </xdr:nvSpPr>
      <xdr:spPr bwMode="auto">
        <a:xfrm>
          <a:off x="2000250" y="4881564"/>
          <a:ext cx="3724275" cy="628650"/>
        </a:xfrm>
        <a:prstGeom prst="wedgeRoundRectCallout">
          <a:avLst>
            <a:gd name="adj1" fmla="val -47500"/>
            <a:gd name="adj2" fmla="val 152659"/>
            <a:gd name="adj3" fmla="val 16667"/>
          </a:avLst>
        </a:prstGeom>
        <a:noFill/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Ａ－①　　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　本テンプレートの利用前に、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　プロジェクトの開始日</a:t>
          </a:r>
          <a:r>
            <a:rPr kumimoji="1" lang="en-US" altLang="ja-JP" sz="1000">
              <a:solidFill>
                <a:srgbClr val="FF0000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(YYYY/MM/DD)</a:t>
          </a: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を入力する。</a:t>
          </a:r>
        </a:p>
      </xdr:txBody>
    </xdr:sp>
    <xdr:clientData/>
  </xdr:twoCellAnchor>
  <xdr:twoCellAnchor>
    <xdr:from>
      <xdr:col>8</xdr:col>
      <xdr:colOff>252255</xdr:colOff>
      <xdr:row>28</xdr:row>
      <xdr:rowOff>3811</xdr:rowOff>
    </xdr:from>
    <xdr:to>
      <xdr:col>11</xdr:col>
      <xdr:colOff>274839</xdr:colOff>
      <xdr:row>31</xdr:row>
      <xdr:rowOff>116891</xdr:rowOff>
    </xdr:to>
    <xdr:sp macro="" textlink="">
      <xdr:nvSpPr>
        <xdr:cNvPr id="4" name="角丸四角形吹き出し 3">
          <a:extLst>
            <a:ext uri="{FF2B5EF4-FFF2-40B4-BE49-F238E27FC236}">
              <a16:creationId xmlns:a16="http://schemas.microsoft.com/office/drawing/2014/main" id="{70E16904-CEA7-E32C-EC83-7EAF6C5E5210}"/>
            </a:ext>
          </a:extLst>
        </xdr:cNvPr>
        <xdr:cNvSpPr/>
      </xdr:nvSpPr>
      <xdr:spPr bwMode="auto">
        <a:xfrm>
          <a:off x="4083845" y="7841456"/>
          <a:ext cx="2095500" cy="611983"/>
        </a:xfrm>
        <a:prstGeom prst="wedgeRoundRectCallout">
          <a:avLst>
            <a:gd name="adj1" fmla="val -13029"/>
            <a:gd name="adj2" fmla="val 108331"/>
            <a:gd name="adj3" fmla="val 16667"/>
          </a:avLst>
        </a:prstGeom>
        <a:solidFill>
          <a:srgbClr val="FFFFCC"/>
        </a:solidFill>
        <a:ln w="222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Ｃ－③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>
            <a:lnSpc>
              <a:spcPts val="11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「更新」ボタンをクリックすると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>
            <a:lnSpc>
              <a:spcPts val="13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進捗と稲妻線が描画されます。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7</xdr:col>
      <xdr:colOff>163829</xdr:colOff>
      <xdr:row>43</xdr:row>
      <xdr:rowOff>26194</xdr:rowOff>
    </xdr:from>
    <xdr:to>
      <xdr:col>10</xdr:col>
      <xdr:colOff>323621</xdr:colOff>
      <xdr:row>47</xdr:row>
      <xdr:rowOff>35977</xdr:rowOff>
    </xdr:to>
    <xdr:sp macro="" textlink="">
      <xdr:nvSpPr>
        <xdr:cNvPr id="5" name="角丸四角形吹き出し 4">
          <a:extLst>
            <a:ext uri="{FF2B5EF4-FFF2-40B4-BE49-F238E27FC236}">
              <a16:creationId xmlns:a16="http://schemas.microsoft.com/office/drawing/2014/main" id="{73AB226C-9A7B-F73D-1ED2-A9D5D4F2FB17}"/>
            </a:ext>
          </a:extLst>
        </xdr:cNvPr>
        <xdr:cNvSpPr/>
      </xdr:nvSpPr>
      <xdr:spPr bwMode="auto">
        <a:xfrm>
          <a:off x="3309937" y="8186738"/>
          <a:ext cx="2238376" cy="695325"/>
        </a:xfrm>
        <a:prstGeom prst="wedgeRoundRectCallout">
          <a:avLst>
            <a:gd name="adj1" fmla="val 72340"/>
            <a:gd name="adj2" fmla="val -199941"/>
            <a:gd name="adj3" fmla="val 16667"/>
          </a:avLst>
        </a:prstGeom>
        <a:solidFill>
          <a:srgbClr val="FFFFCC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marL="0" marR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u="none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Ｃ－①</a:t>
          </a:r>
          <a:endParaRPr kumimoji="1" lang="en-US" altLang="ja-JP" sz="1000" u="none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marL="0" marR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u="sng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実際</a:t>
          </a:r>
          <a:r>
            <a:rPr kumimoji="1" lang="ja-JP" altLang="en-US" sz="1000" u="none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の開始日・</a:t>
          </a: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終了日</a:t>
          </a:r>
          <a:r>
            <a:rPr kumimoji="1" lang="en-US" altLang="ja-JP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(</a:t>
          </a:r>
          <a:r>
            <a:rPr kumimoji="1" lang="en-US" altLang="ja-JP" sz="1000">
              <a:solidFill>
                <a:srgbClr val="FF0000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YYYY/MM/DD</a:t>
          </a:r>
          <a:r>
            <a:rPr kumimoji="1" lang="en-US" altLang="ja-JP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)</a:t>
          </a: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を入力してください。</a:t>
          </a:r>
        </a:p>
      </xdr:txBody>
    </xdr:sp>
    <xdr:clientData/>
  </xdr:twoCellAnchor>
  <xdr:twoCellAnchor>
    <xdr:from>
      <xdr:col>5</xdr:col>
      <xdr:colOff>361683</xdr:colOff>
      <xdr:row>38</xdr:row>
      <xdr:rowOff>41910</xdr:rowOff>
    </xdr:from>
    <xdr:to>
      <xdr:col>8</xdr:col>
      <xdr:colOff>590549</xdr:colOff>
      <xdr:row>41</xdr:row>
      <xdr:rowOff>65486</xdr:rowOff>
    </xdr:to>
    <xdr:sp macro="" textlink="">
      <xdr:nvSpPr>
        <xdr:cNvPr id="6" name="角丸四角形吹き出し 5">
          <a:extLst>
            <a:ext uri="{FF2B5EF4-FFF2-40B4-BE49-F238E27FC236}">
              <a16:creationId xmlns:a16="http://schemas.microsoft.com/office/drawing/2014/main" id="{43B53903-31A0-23BB-0156-227BA8DE3D08}"/>
            </a:ext>
          </a:extLst>
        </xdr:cNvPr>
        <xdr:cNvSpPr/>
      </xdr:nvSpPr>
      <xdr:spPr bwMode="auto">
        <a:xfrm>
          <a:off x="2141271" y="7393781"/>
          <a:ext cx="2323573" cy="514352"/>
        </a:xfrm>
        <a:prstGeom prst="wedgeRoundRectCallout">
          <a:avLst>
            <a:gd name="adj1" fmla="val 80897"/>
            <a:gd name="adj2" fmla="val -122390"/>
            <a:gd name="adj3" fmla="val 16667"/>
          </a:avLst>
        </a:prstGeom>
        <a:solidFill>
          <a:schemeClr val="bg1">
            <a:lumMod val="85000"/>
          </a:schemeClr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marL="0" marR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u="none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Ｂ－②</a:t>
          </a:r>
          <a:endParaRPr kumimoji="1" lang="en-US" altLang="ja-JP" sz="1000" u="none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marL="0" marR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u="none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作業予定の開始日・終了日</a:t>
          </a:r>
          <a:r>
            <a:rPr kumimoji="1" lang="en-US" altLang="ja-JP" sz="1000" u="none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(</a:t>
          </a:r>
          <a:r>
            <a:rPr kumimoji="1" lang="en-US" altLang="ja-JP" sz="1000" u="none">
              <a:solidFill>
                <a:srgbClr val="FF0000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YYYY/MM/DD</a:t>
          </a:r>
          <a:r>
            <a:rPr kumimoji="1" lang="en-US" altLang="ja-JP" sz="1000" u="none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)</a:t>
          </a:r>
          <a:r>
            <a:rPr kumimoji="1" lang="ja-JP" altLang="en-US" sz="1000" u="none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を入力してください</a:t>
          </a: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。</a:t>
          </a:r>
        </a:p>
      </xdr:txBody>
    </xdr:sp>
    <xdr:clientData/>
  </xdr:twoCellAnchor>
  <xdr:twoCellAnchor>
    <xdr:from>
      <xdr:col>14</xdr:col>
      <xdr:colOff>507524</xdr:colOff>
      <xdr:row>29</xdr:row>
      <xdr:rowOff>35718</xdr:rowOff>
    </xdr:from>
    <xdr:to>
      <xdr:col>16</xdr:col>
      <xdr:colOff>1028486</xdr:colOff>
      <xdr:row>32</xdr:row>
      <xdr:rowOff>35676</xdr:rowOff>
    </xdr:to>
    <xdr:sp macro="" textlink="">
      <xdr:nvSpPr>
        <xdr:cNvPr id="7" name="角丸四角形吹き出し 6">
          <a:extLst>
            <a:ext uri="{FF2B5EF4-FFF2-40B4-BE49-F238E27FC236}">
              <a16:creationId xmlns:a16="http://schemas.microsoft.com/office/drawing/2014/main" id="{A743037E-E001-F8B2-9743-4FDD24DF9E71}"/>
            </a:ext>
          </a:extLst>
        </xdr:cNvPr>
        <xdr:cNvSpPr/>
      </xdr:nvSpPr>
      <xdr:spPr bwMode="auto">
        <a:xfrm>
          <a:off x="8512969" y="8167687"/>
          <a:ext cx="1964530" cy="513928"/>
        </a:xfrm>
        <a:prstGeom prst="wedgeRoundRectCallout">
          <a:avLst>
            <a:gd name="adj1" fmla="val -27251"/>
            <a:gd name="adj2" fmla="val 150130"/>
            <a:gd name="adj3" fmla="val 16667"/>
          </a:avLst>
        </a:prstGeom>
        <a:solidFill>
          <a:srgbClr val="FFFFCC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Ｃ</a:t>
          </a:r>
          <a:r>
            <a:rPr kumimoji="1" lang="en-US" altLang="ja-JP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-④</a:t>
          </a: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当日を赤色で反転表示します</a:t>
          </a:r>
        </a:p>
      </xdr:txBody>
    </xdr:sp>
    <xdr:clientData/>
  </xdr:twoCellAnchor>
  <xdr:twoCellAnchor>
    <xdr:from>
      <xdr:col>13</xdr:col>
      <xdr:colOff>501174</xdr:colOff>
      <xdr:row>43</xdr:row>
      <xdr:rowOff>138430</xdr:rowOff>
    </xdr:from>
    <xdr:to>
      <xdr:col>16</xdr:col>
      <xdr:colOff>742175</xdr:colOff>
      <xdr:row>47</xdr:row>
      <xdr:rowOff>94781</xdr:rowOff>
    </xdr:to>
    <xdr:sp macro="" textlink="">
      <xdr:nvSpPr>
        <xdr:cNvPr id="8" name="角丸四角形吹き出し 7">
          <a:extLst>
            <a:ext uri="{FF2B5EF4-FFF2-40B4-BE49-F238E27FC236}">
              <a16:creationId xmlns:a16="http://schemas.microsoft.com/office/drawing/2014/main" id="{2A71B726-0CB0-A46D-8F2E-CC03F2F45C7A}"/>
            </a:ext>
          </a:extLst>
        </xdr:cNvPr>
        <xdr:cNvSpPr/>
      </xdr:nvSpPr>
      <xdr:spPr bwMode="auto">
        <a:xfrm>
          <a:off x="7831932" y="8420100"/>
          <a:ext cx="2314575" cy="616743"/>
        </a:xfrm>
        <a:prstGeom prst="wedgeRoundRectCallout">
          <a:avLst>
            <a:gd name="adj1" fmla="val -56996"/>
            <a:gd name="adj2" fmla="val -132853"/>
            <a:gd name="adj3" fmla="val 16667"/>
          </a:avLst>
        </a:prstGeom>
        <a:solidFill>
          <a:srgbClr val="FFFFCC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marL="0" marR="0" indent="0" algn="l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rgbClr val="FF0000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Ｃ</a:t>
          </a:r>
          <a:r>
            <a:rPr kumimoji="1" lang="en-US" altLang="ja-JP" sz="1000">
              <a:solidFill>
                <a:srgbClr val="FF0000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-④</a:t>
          </a:r>
          <a:endParaRPr lang="ja-JP" altLang="ja-JP" sz="1000">
            <a:solidFill>
              <a:srgbClr val="FF0000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>
            <a:lnSpc>
              <a:spcPts val="11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作業が基準より遅れているものは赤線が左側に描画されます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13</xdr:col>
      <xdr:colOff>232728</xdr:colOff>
      <xdr:row>51</xdr:row>
      <xdr:rowOff>117476</xdr:rowOff>
    </xdr:from>
    <xdr:to>
      <xdr:col>16</xdr:col>
      <xdr:colOff>304448</xdr:colOff>
      <xdr:row>55</xdr:row>
      <xdr:rowOff>54</xdr:rowOff>
    </xdr:to>
    <xdr:sp macro="" textlink="">
      <xdr:nvSpPr>
        <xdr:cNvPr id="9" name="角丸四角形吹き出し 8">
          <a:extLst>
            <a:ext uri="{FF2B5EF4-FFF2-40B4-BE49-F238E27FC236}">
              <a16:creationId xmlns:a16="http://schemas.microsoft.com/office/drawing/2014/main" id="{63DE4802-737F-AA16-7F06-5D29D944FC8B}"/>
            </a:ext>
          </a:extLst>
        </xdr:cNvPr>
        <xdr:cNvSpPr/>
      </xdr:nvSpPr>
      <xdr:spPr bwMode="auto">
        <a:xfrm>
          <a:off x="7534276" y="9734551"/>
          <a:ext cx="2138362" cy="552449"/>
        </a:xfrm>
        <a:prstGeom prst="wedgeRoundRectCallout">
          <a:avLst>
            <a:gd name="adj1" fmla="val 27309"/>
            <a:gd name="adj2" fmla="val -107398"/>
            <a:gd name="adj3" fmla="val 16667"/>
          </a:avLst>
        </a:prstGeom>
        <a:solidFill>
          <a:srgbClr val="FFFFCC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marL="0" marR="0" indent="0" algn="l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rgbClr val="FF0000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Ｃ</a:t>
          </a:r>
          <a:r>
            <a:rPr kumimoji="1" lang="en-US" altLang="ja-JP" sz="1000">
              <a:solidFill>
                <a:srgbClr val="FF0000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-④</a:t>
          </a:r>
          <a:endParaRPr lang="ja-JP" altLang="ja-JP" sz="1000">
            <a:solidFill>
              <a:srgbClr val="FF0000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>
            <a:lnSpc>
              <a:spcPts val="11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作業が基準より進んでいるものは赤線が右側に描画されます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9</xdr:col>
      <xdr:colOff>294481</xdr:colOff>
      <xdr:row>48</xdr:row>
      <xdr:rowOff>44292</xdr:rowOff>
    </xdr:from>
    <xdr:to>
      <xdr:col>12</xdr:col>
      <xdr:colOff>26404</xdr:colOff>
      <xdr:row>51</xdr:row>
      <xdr:rowOff>21584</xdr:rowOff>
    </xdr:to>
    <xdr:sp macro="" textlink="">
      <xdr:nvSpPr>
        <xdr:cNvPr id="10" name="角丸四角形吹き出し 9">
          <a:extLst>
            <a:ext uri="{FF2B5EF4-FFF2-40B4-BE49-F238E27FC236}">
              <a16:creationId xmlns:a16="http://schemas.microsoft.com/office/drawing/2014/main" id="{290310C6-1513-ED1B-893C-74ED76906428}"/>
            </a:ext>
          </a:extLst>
        </xdr:cNvPr>
        <xdr:cNvSpPr/>
      </xdr:nvSpPr>
      <xdr:spPr bwMode="auto">
        <a:xfrm>
          <a:off x="4836319" y="9072563"/>
          <a:ext cx="1752600" cy="452437"/>
        </a:xfrm>
        <a:prstGeom prst="wedgeRoundRectCallout">
          <a:avLst>
            <a:gd name="adj1" fmla="val 78205"/>
            <a:gd name="adj2" fmla="val -466290"/>
            <a:gd name="adj3" fmla="val 16667"/>
          </a:avLst>
        </a:prstGeom>
        <a:solidFill>
          <a:srgbClr val="FFFFCC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algn="l"/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Ｃ－②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進捗率を入力してください。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3</xdr:col>
      <xdr:colOff>298449</xdr:colOff>
      <xdr:row>30</xdr:row>
      <xdr:rowOff>118904</xdr:rowOff>
    </xdr:from>
    <xdr:to>
      <xdr:col>8</xdr:col>
      <xdr:colOff>168997</xdr:colOff>
      <xdr:row>34</xdr:row>
      <xdr:rowOff>2805</xdr:rowOff>
    </xdr:to>
    <xdr:sp macro="" textlink="">
      <xdr:nvSpPr>
        <xdr:cNvPr id="11" name="角丸四角形吹き出し 10">
          <a:extLst>
            <a:ext uri="{FF2B5EF4-FFF2-40B4-BE49-F238E27FC236}">
              <a16:creationId xmlns:a16="http://schemas.microsoft.com/office/drawing/2014/main" id="{2019CC79-1298-4E69-7099-849089F990B2}"/>
            </a:ext>
          </a:extLst>
        </xdr:cNvPr>
        <xdr:cNvSpPr/>
      </xdr:nvSpPr>
      <xdr:spPr bwMode="auto">
        <a:xfrm>
          <a:off x="809624" y="9894094"/>
          <a:ext cx="3298033" cy="546053"/>
        </a:xfrm>
        <a:prstGeom prst="wedgeRoundRectCallout">
          <a:avLst>
            <a:gd name="adj1" fmla="val -12581"/>
            <a:gd name="adj2" fmla="val 122261"/>
            <a:gd name="adj3" fmla="val 16667"/>
          </a:avLst>
        </a:prstGeom>
        <a:solidFill>
          <a:schemeClr val="bg1">
            <a:lumMod val="85000"/>
          </a:schemeClr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Ｂ－①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項番、大項目、中項目、作業詳細を入力してください</a:t>
          </a:r>
        </a:p>
      </xdr:txBody>
    </xdr:sp>
    <xdr:clientData/>
  </xdr:twoCellAnchor>
  <xdr:twoCellAnchor editAs="oneCell">
    <xdr:from>
      <xdr:col>4</xdr:col>
      <xdr:colOff>464820</xdr:colOff>
      <xdr:row>6</xdr:row>
      <xdr:rowOff>160020</xdr:rowOff>
    </xdr:from>
    <xdr:to>
      <xdr:col>10</xdr:col>
      <xdr:colOff>502920</xdr:colOff>
      <xdr:row>6</xdr:row>
      <xdr:rowOff>1562100</xdr:rowOff>
    </xdr:to>
    <xdr:pic>
      <xdr:nvPicPr>
        <xdr:cNvPr id="36464" name="図 4">
          <a:extLst>
            <a:ext uri="{FF2B5EF4-FFF2-40B4-BE49-F238E27FC236}">
              <a16:creationId xmlns:a16="http://schemas.microsoft.com/office/drawing/2014/main" id="{0F211563-928D-1649-2807-642D5E75C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" y="1798320"/>
          <a:ext cx="3741420" cy="140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327660</xdr:colOff>
      <xdr:row>11</xdr:row>
      <xdr:rowOff>114300</xdr:rowOff>
    </xdr:from>
    <xdr:to>
      <xdr:col>7</xdr:col>
      <xdr:colOff>342900</xdr:colOff>
      <xdr:row>16</xdr:row>
      <xdr:rowOff>99060</xdr:rowOff>
    </xdr:to>
    <xdr:pic>
      <xdr:nvPicPr>
        <xdr:cNvPr id="36465" name="図 18">
          <a:extLst>
            <a:ext uri="{FF2B5EF4-FFF2-40B4-BE49-F238E27FC236}">
              <a16:creationId xmlns:a16="http://schemas.microsoft.com/office/drawing/2014/main" id="{70851D62-35BE-EFED-911C-16D8CACD9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" y="4533900"/>
          <a:ext cx="2484120" cy="1546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294163</xdr:colOff>
      <xdr:row>11</xdr:row>
      <xdr:rowOff>2</xdr:rowOff>
    </xdr:from>
    <xdr:to>
      <xdr:col>7</xdr:col>
      <xdr:colOff>4893</xdr:colOff>
      <xdr:row>12</xdr:row>
      <xdr:rowOff>67320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4847FB81-D0C1-1610-0983-BF1762964380}"/>
            </a:ext>
          </a:extLst>
        </xdr:cNvPr>
        <xdr:cNvSpPr/>
      </xdr:nvSpPr>
      <xdr:spPr>
        <a:xfrm rot="16200000">
          <a:off x="2411018" y="4542234"/>
          <a:ext cx="369091" cy="107156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4</xdr:col>
      <xdr:colOff>339408</xdr:colOff>
      <xdr:row>10</xdr:row>
      <xdr:rowOff>0</xdr:rowOff>
    </xdr:from>
    <xdr:ext cx="2000356" cy="27571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9071AA8C-C0D6-DF87-C88B-32A321DCBFAF}"/>
            </a:ext>
          </a:extLst>
        </xdr:cNvPr>
        <xdr:cNvSpPr txBox="1"/>
      </xdr:nvSpPr>
      <xdr:spPr>
        <a:xfrm>
          <a:off x="1387158" y="4124325"/>
          <a:ext cx="200035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①スケジュール表示列をコピー</a:t>
          </a:r>
        </a:p>
      </xdr:txBody>
    </xdr:sp>
    <xdr:clientData/>
  </xdr:oneCellAnchor>
  <xdr:twoCellAnchor editAs="oneCell">
    <xdr:from>
      <xdr:col>7</xdr:col>
      <xdr:colOff>449580</xdr:colOff>
      <xdr:row>11</xdr:row>
      <xdr:rowOff>190500</xdr:rowOff>
    </xdr:from>
    <xdr:to>
      <xdr:col>11</xdr:col>
      <xdr:colOff>388620</xdr:colOff>
      <xdr:row>16</xdr:row>
      <xdr:rowOff>137160</xdr:rowOff>
    </xdr:to>
    <xdr:pic>
      <xdr:nvPicPr>
        <xdr:cNvPr id="36468" name="図 21">
          <a:extLst>
            <a:ext uri="{FF2B5EF4-FFF2-40B4-BE49-F238E27FC236}">
              <a16:creationId xmlns:a16="http://schemas.microsoft.com/office/drawing/2014/main" id="{F7A7B669-4B01-B245-B11E-464F0FCE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5180" y="4610100"/>
          <a:ext cx="2407920" cy="1508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199548</xdr:colOff>
      <xdr:row>10</xdr:row>
      <xdr:rowOff>232886</xdr:rowOff>
    </xdr:from>
    <xdr:to>
      <xdr:col>11</xdr:col>
      <xdr:colOff>449784</xdr:colOff>
      <xdr:row>12</xdr:row>
      <xdr:rowOff>154986</xdr:rowOff>
    </xdr:to>
    <xdr:sp macro="" textlink="">
      <xdr:nvSpPr>
        <xdr:cNvPr id="13" name="下矢印 12">
          <a:extLst>
            <a:ext uri="{FF2B5EF4-FFF2-40B4-BE49-F238E27FC236}">
              <a16:creationId xmlns:a16="http://schemas.microsoft.com/office/drawing/2014/main" id="{2A4139E8-1522-2F29-8A01-4FB8807EF0BA}"/>
            </a:ext>
          </a:extLst>
        </xdr:cNvPr>
        <xdr:cNvSpPr/>
      </xdr:nvSpPr>
      <xdr:spPr>
        <a:xfrm>
          <a:off x="6107906" y="4833937"/>
          <a:ext cx="273844" cy="5238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12</xdr:col>
      <xdr:colOff>594360</xdr:colOff>
      <xdr:row>11</xdr:row>
      <xdr:rowOff>22860</xdr:rowOff>
    </xdr:from>
    <xdr:to>
      <xdr:col>16</xdr:col>
      <xdr:colOff>807720</xdr:colOff>
      <xdr:row>16</xdr:row>
      <xdr:rowOff>99060</xdr:rowOff>
    </xdr:to>
    <xdr:pic>
      <xdr:nvPicPr>
        <xdr:cNvPr id="36470" name="図 24">
          <a:extLst>
            <a:ext uri="{FF2B5EF4-FFF2-40B4-BE49-F238E27FC236}">
              <a16:creationId xmlns:a16="http://schemas.microsoft.com/office/drawing/2014/main" id="{B6F972C9-E770-1120-71C9-E23BA60A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6060" y="4442460"/>
          <a:ext cx="268224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24606</xdr:colOff>
      <xdr:row>10</xdr:row>
      <xdr:rowOff>197167</xdr:rowOff>
    </xdr:from>
    <xdr:to>
      <xdr:col>16</xdr:col>
      <xdr:colOff>819973</xdr:colOff>
      <xdr:row>11</xdr:row>
      <xdr:rowOff>300968</xdr:rowOff>
    </xdr:to>
    <xdr:sp macro="" textlink="">
      <xdr:nvSpPr>
        <xdr:cNvPr id="23" name="右中かっこ 22">
          <a:extLst>
            <a:ext uri="{FF2B5EF4-FFF2-40B4-BE49-F238E27FC236}">
              <a16:creationId xmlns:a16="http://schemas.microsoft.com/office/drawing/2014/main" id="{F2D335AA-49FE-5E0A-3D3C-A441811709EC}"/>
            </a:ext>
          </a:extLst>
        </xdr:cNvPr>
        <xdr:cNvSpPr/>
      </xdr:nvSpPr>
      <xdr:spPr>
        <a:xfrm rot="16200000">
          <a:off x="9590485" y="4554139"/>
          <a:ext cx="392906" cy="88106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9</xdr:col>
      <xdr:colOff>232728</xdr:colOff>
      <xdr:row>10</xdr:row>
      <xdr:rowOff>0</xdr:rowOff>
    </xdr:from>
    <xdr:ext cx="2559034" cy="275717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6342ACB-AC64-38AD-A133-D15E61CB4C30}"/>
            </a:ext>
          </a:extLst>
        </xdr:cNvPr>
        <xdr:cNvSpPr txBox="1"/>
      </xdr:nvSpPr>
      <xdr:spPr>
        <a:xfrm>
          <a:off x="4376103" y="4124325"/>
          <a:ext cx="255903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②スケジュール表記の最後尾に貼り付け</a:t>
          </a:r>
        </a:p>
      </xdr:txBody>
    </xdr:sp>
    <xdr:clientData/>
  </xdr:oneCellAnchor>
  <xdr:oneCellAnchor>
    <xdr:from>
      <xdr:col>14</xdr:col>
      <xdr:colOff>603885</xdr:colOff>
      <xdr:row>10</xdr:row>
      <xdr:rowOff>793</xdr:rowOff>
    </xdr:from>
    <xdr:ext cx="1980508" cy="275717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86FC2B3F-72C1-F9E2-683C-190485376FC2}"/>
            </a:ext>
          </a:extLst>
        </xdr:cNvPr>
        <xdr:cNvSpPr txBox="1"/>
      </xdr:nvSpPr>
      <xdr:spPr>
        <a:xfrm>
          <a:off x="7842885" y="4125118"/>
          <a:ext cx="198050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③スケジュール表記が延長</a:t>
          </a:r>
        </a:p>
      </xdr:txBody>
    </xdr:sp>
    <xdr:clientData/>
  </xdr:oneCellAnchor>
  <xdr:twoCellAnchor>
    <xdr:from>
      <xdr:col>11</xdr:col>
      <xdr:colOff>578804</xdr:colOff>
      <xdr:row>22</xdr:row>
      <xdr:rowOff>40005</xdr:rowOff>
    </xdr:from>
    <xdr:to>
      <xdr:col>14</xdr:col>
      <xdr:colOff>217801</xdr:colOff>
      <xdr:row>25</xdr:row>
      <xdr:rowOff>129461</xdr:rowOff>
    </xdr:to>
    <xdr:sp macro="" textlink="">
      <xdr:nvSpPr>
        <xdr:cNvPr id="29" name="角丸四角形吹き出し 28">
          <a:extLst>
            <a:ext uri="{FF2B5EF4-FFF2-40B4-BE49-F238E27FC236}">
              <a16:creationId xmlns:a16="http://schemas.microsoft.com/office/drawing/2014/main" id="{190A69F3-5BB7-EEB5-2019-EA93043C379E}"/>
            </a:ext>
          </a:extLst>
        </xdr:cNvPr>
        <xdr:cNvSpPr/>
      </xdr:nvSpPr>
      <xdr:spPr bwMode="auto">
        <a:xfrm>
          <a:off x="6643689" y="7977188"/>
          <a:ext cx="1678780" cy="640557"/>
        </a:xfrm>
        <a:prstGeom prst="wedgeRoundRectCallout">
          <a:avLst>
            <a:gd name="adj1" fmla="val -20766"/>
            <a:gd name="adj2" fmla="val 256083"/>
            <a:gd name="adj3" fmla="val 16667"/>
          </a:avLst>
        </a:prstGeom>
        <a:noFill/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Ａ－②　　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　休日の設定をする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  <xdr:twoCellAnchor>
    <xdr:from>
      <xdr:col>14</xdr:col>
      <xdr:colOff>391161</xdr:colOff>
      <xdr:row>23</xdr:row>
      <xdr:rowOff>11589</xdr:rowOff>
    </xdr:from>
    <xdr:to>
      <xdr:col>16</xdr:col>
      <xdr:colOff>990828</xdr:colOff>
      <xdr:row>25</xdr:row>
      <xdr:rowOff>138285</xdr:rowOff>
    </xdr:to>
    <xdr:sp macro="" textlink="">
      <xdr:nvSpPr>
        <xdr:cNvPr id="30" name="角丸四角形吹き出し 29">
          <a:extLst>
            <a:ext uri="{FF2B5EF4-FFF2-40B4-BE49-F238E27FC236}">
              <a16:creationId xmlns:a16="http://schemas.microsoft.com/office/drawing/2014/main" id="{3ADED861-3988-A022-3F3A-2B406842401D}"/>
            </a:ext>
          </a:extLst>
        </xdr:cNvPr>
        <xdr:cNvSpPr/>
      </xdr:nvSpPr>
      <xdr:spPr bwMode="auto">
        <a:xfrm>
          <a:off x="8382001" y="7000875"/>
          <a:ext cx="2035968" cy="485775"/>
        </a:xfrm>
        <a:prstGeom prst="wedgeRoundRectCallout">
          <a:avLst>
            <a:gd name="adj1" fmla="val -107951"/>
            <a:gd name="adj2" fmla="val 296711"/>
            <a:gd name="adj3" fmla="val 16667"/>
          </a:avLst>
        </a:prstGeom>
        <a:solidFill>
          <a:schemeClr val="bg1">
            <a:lumMod val="85000"/>
          </a:schemeClr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anchorCtr="0" upright="1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Ｂ－③　　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　マイルストーンの設定をする</a:t>
          </a:r>
          <a:endParaRPr kumimoji="1" lang="en-US" altLang="ja-JP" sz="10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9526</xdr:colOff>
      <xdr:row>0</xdr:row>
      <xdr:rowOff>115993</xdr:rowOff>
    </xdr:from>
    <xdr:ext cx="4724490" cy="107449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9BA7DC6-53EA-C24D-B5B4-68919301666B}"/>
            </a:ext>
          </a:extLst>
        </xdr:cNvPr>
        <xdr:cNvSpPr txBox="1"/>
      </xdr:nvSpPr>
      <xdr:spPr>
        <a:xfrm>
          <a:off x="76201" y="122343"/>
          <a:ext cx="4941006" cy="1073668"/>
        </a:xfrm>
        <a:prstGeom prst="rect">
          <a:avLst/>
        </a:prstGeom>
        <a:solidFill>
          <a:schemeClr val="bg1"/>
        </a:solidFill>
        <a:ln w="38100" cmpd="dbl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000"/>
            </a:lnSpc>
          </a:pPr>
          <a:r>
            <a:rPr lang="en-US" altLang="ja-JP"/>
            <a:t>WBS</a:t>
          </a:r>
          <a:r>
            <a:rPr lang="ja-JP" altLang="en-US"/>
            <a:t>の標準的な項目を予め記載したサンプルシートになります。</a:t>
          </a:r>
          <a:endParaRPr lang="en-US" altLang="ja-JP"/>
        </a:p>
        <a:p>
          <a:pPr>
            <a:lnSpc>
              <a:spcPts val="1300"/>
            </a:lnSpc>
          </a:pPr>
          <a:r>
            <a:rPr lang="ja-JP" altLang="en-US"/>
            <a:t>各案件で必要な項目を「</a:t>
          </a:r>
          <a:r>
            <a:rPr lang="en-US" altLang="ja-JP"/>
            <a:t>WBS</a:t>
          </a:r>
          <a:r>
            <a:rPr lang="ja-JP" altLang="en-US"/>
            <a:t>」シートにコピー＆ペーストし、必要に応じてカスタマイズしてご利用ください。</a:t>
          </a:r>
          <a:endParaRPr lang="en-US" altLang="ja-JP"/>
        </a:p>
        <a:p>
          <a:pPr>
            <a:lnSpc>
              <a:spcPts val="1200"/>
            </a:lnSpc>
          </a:pPr>
          <a:r>
            <a:rPr lang="en-US" altLang="ja-JP"/>
            <a:t>※13</a:t>
          </a:r>
          <a:r>
            <a:rPr lang="ja-JP" altLang="en-US"/>
            <a:t>行目以降の</a:t>
          </a:r>
          <a:r>
            <a:rPr lang="en-US" altLang="ja-JP"/>
            <a:t>C</a:t>
          </a:r>
          <a:r>
            <a:rPr lang="ja-JP" altLang="en-US"/>
            <a:t>列（大項目）～</a:t>
          </a:r>
          <a:r>
            <a:rPr lang="en-US" altLang="ja-JP"/>
            <a:t>G</a:t>
          </a:r>
          <a:r>
            <a:rPr lang="ja-JP" altLang="en-US"/>
            <a:t>列（成果物）を選択して、コピー＆ペーストしてください。</a:t>
          </a:r>
        </a:p>
      </xdr:txBody>
    </xdr:sp>
    <xdr:clientData/>
  </xdr:oneCellAnchor>
  <xdr:twoCellAnchor>
    <xdr:from>
      <xdr:col>2</xdr:col>
      <xdr:colOff>3586</xdr:colOff>
      <xdr:row>6</xdr:row>
      <xdr:rowOff>110006</xdr:rowOff>
    </xdr:from>
    <xdr:to>
      <xdr:col>6</xdr:col>
      <xdr:colOff>3426593</xdr:colOff>
      <xdr:row>9</xdr:row>
      <xdr:rowOff>154344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B27EACC1-04F3-0A07-F60E-3A8F4AF04ECB}"/>
            </a:ext>
          </a:extLst>
        </xdr:cNvPr>
        <xdr:cNvSpPr/>
      </xdr:nvSpPr>
      <xdr:spPr>
        <a:xfrm rot="16200000">
          <a:off x="5410669" y="-3978369"/>
          <a:ext cx="539144" cy="10732951"/>
        </a:xfrm>
        <a:prstGeom prst="rightBrace">
          <a:avLst>
            <a:gd name="adj1" fmla="val 8333"/>
            <a:gd name="adj2" fmla="val 5668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4</xdr:col>
      <xdr:colOff>2808393</xdr:colOff>
      <xdr:row>3</xdr:row>
      <xdr:rowOff>10583</xdr:rowOff>
    </xdr:from>
    <xdr:to>
      <xdr:col>6</xdr:col>
      <xdr:colOff>2946957</xdr:colOff>
      <xdr:row>7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5EDB8F2-02CA-4BB9-DAE2-8F0FAE3F5834}"/>
            </a:ext>
          </a:extLst>
        </xdr:cNvPr>
        <xdr:cNvSpPr/>
      </xdr:nvSpPr>
      <xdr:spPr>
        <a:xfrm>
          <a:off x="6192943" y="524933"/>
          <a:ext cx="4689715" cy="675217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この範囲の必要な項目をコピーして、「</a:t>
          </a:r>
          <a:r>
            <a:rPr kumimoji="1" lang="en-US" altLang="ja-JP" sz="1100"/>
            <a:t>WBS</a:t>
          </a:r>
          <a:r>
            <a:rPr kumimoji="1" lang="ja-JP" altLang="en-US" sz="1100"/>
            <a:t>」シート</a:t>
          </a:r>
          <a:r>
            <a:rPr kumimoji="1" lang="ja-JP" altLang="en-US" sz="1100" baseline="0"/>
            <a:t> </a:t>
          </a:r>
          <a:r>
            <a:rPr kumimoji="1" lang="ja-JP" altLang="en-US" sz="1100"/>
            <a:t>に貼り付けてご利用ください。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A727-5B4E-4367-8776-5A07BB3109C8}">
  <sheetPr codeName="Sheet5">
    <pageSetUpPr fitToPage="1"/>
  </sheetPr>
  <dimension ref="B1:HO287"/>
  <sheetViews>
    <sheetView tabSelected="1" view="pageBreakPreview" zoomScale="70" zoomScaleNormal="70" zoomScaleSheetLayoutView="70" workbookViewId="0">
      <pane xSplit="17" ySplit="12" topLeftCell="R13" activePane="bottomRight" state="frozen"/>
      <selection pane="topRight" activeCell="R1" sqref="R1"/>
      <selection pane="bottomLeft" activeCell="A13" sqref="A13"/>
      <selection pane="bottomRight" activeCell="B1" sqref="B1:C1"/>
    </sheetView>
  </sheetViews>
  <sheetFormatPr defaultColWidth="9" defaultRowHeight="13.2"/>
  <cols>
    <col min="1" max="1" width="2" style="4" customWidth="1"/>
    <col min="2" max="2" width="3.77734375" style="4" customWidth="1"/>
    <col min="3" max="3" width="4.77734375" style="4" customWidth="1"/>
    <col min="4" max="4" width="5.21875" style="4" customWidth="1"/>
    <col min="5" max="5" width="36.33203125" style="4" customWidth="1"/>
    <col min="6" max="6" width="27.88671875" style="4" hidden="1" customWidth="1"/>
    <col min="7" max="7" width="9.6640625" style="108" customWidth="1"/>
    <col min="8" max="8" width="25.44140625" style="4" customWidth="1"/>
    <col min="9" max="9" width="8" style="4" customWidth="1"/>
    <col min="10" max="15" width="5.109375" style="4" customWidth="1"/>
    <col min="16" max="16" width="5.6640625" style="4" bestFit="1" customWidth="1"/>
    <col min="17" max="17" width="6.88671875" style="4" customWidth="1"/>
    <col min="18" max="223" width="2.21875" style="4" customWidth="1"/>
    <col min="224" max="16384" width="9" style="4"/>
  </cols>
  <sheetData>
    <row r="1" spans="2:223">
      <c r="B1" s="163" t="s">
        <v>0</v>
      </c>
      <c r="C1" s="163"/>
      <c r="D1" s="113"/>
      <c r="E1" s="1">
        <v>44531</v>
      </c>
      <c r="F1" s="2"/>
      <c r="G1" s="3"/>
    </row>
    <row r="2" spans="2:223">
      <c r="B2" s="149" t="s">
        <v>1</v>
      </c>
      <c r="C2" s="149"/>
      <c r="D2" s="130"/>
      <c r="E2" s="160"/>
      <c r="F2" s="161"/>
      <c r="G2" s="161"/>
      <c r="H2" s="107" t="s">
        <v>2</v>
      </c>
      <c r="I2" s="144" t="s">
        <v>346</v>
      </c>
      <c r="J2" s="158"/>
      <c r="K2" s="158"/>
      <c r="L2" s="159"/>
      <c r="M2" s="149" t="s">
        <v>3</v>
      </c>
      <c r="N2" s="149"/>
      <c r="O2" s="152"/>
      <c r="P2" s="153"/>
      <c r="Q2" s="154"/>
    </row>
    <row r="3" spans="2:223" hidden="1">
      <c r="B3" s="149" t="s">
        <v>4</v>
      </c>
      <c r="C3" s="149"/>
      <c r="D3" s="130"/>
      <c r="E3" s="160"/>
      <c r="F3" s="161"/>
      <c r="G3" s="161"/>
      <c r="H3" s="107" t="s">
        <v>5</v>
      </c>
      <c r="I3" s="110"/>
      <c r="J3" s="147"/>
      <c r="K3" s="147"/>
      <c r="L3" s="148"/>
      <c r="M3" s="149" t="s">
        <v>6</v>
      </c>
      <c r="N3" s="149"/>
      <c r="O3" s="152"/>
      <c r="P3" s="153"/>
      <c r="Q3" s="154"/>
    </row>
    <row r="4" spans="2:223" ht="13.5" customHeight="1">
      <c r="G4" s="4"/>
    </row>
    <row r="5" spans="2:223" ht="3.75" customHeight="1">
      <c r="G5" s="4"/>
    </row>
    <row r="6" spans="2:223" ht="3.75" customHeight="1">
      <c r="G6" s="4"/>
    </row>
    <row r="7" spans="2:223" ht="3.75" customHeight="1">
      <c r="G7" s="4"/>
    </row>
    <row r="8" spans="2:223" ht="13.5" customHeight="1">
      <c r="G8" s="4"/>
      <c r="Q8" s="5" t="s">
        <v>360</v>
      </c>
      <c r="R8" s="6"/>
      <c r="S8" s="6"/>
      <c r="T8" s="6"/>
      <c r="U8" s="6"/>
      <c r="V8" s="6"/>
      <c r="W8" s="6"/>
      <c r="X8" s="6"/>
      <c r="Y8" s="6" t="s">
        <v>359</v>
      </c>
      <c r="Z8" s="6"/>
      <c r="AA8" s="6"/>
      <c r="AB8" s="6"/>
      <c r="AC8" s="6"/>
      <c r="AD8" s="6"/>
      <c r="AE8" s="6"/>
      <c r="AF8" s="6"/>
      <c r="AG8" s="6" t="s">
        <v>359</v>
      </c>
      <c r="AH8" s="6"/>
      <c r="AI8" s="6"/>
      <c r="AJ8" s="6"/>
      <c r="AK8" s="6"/>
      <c r="AL8" s="6"/>
      <c r="AM8" s="6"/>
      <c r="AN8" s="6" t="s">
        <v>359</v>
      </c>
      <c r="AO8" s="6"/>
      <c r="AP8" s="6"/>
      <c r="AQ8" s="6"/>
      <c r="AR8" s="6"/>
      <c r="AS8" s="6"/>
      <c r="AT8" s="6"/>
      <c r="AU8" s="6" t="s">
        <v>359</v>
      </c>
      <c r="AV8" s="6"/>
      <c r="AW8" s="6"/>
      <c r="AX8" s="6"/>
      <c r="AY8" s="6"/>
      <c r="AZ8" s="6"/>
      <c r="BA8" s="6" t="s">
        <v>359</v>
      </c>
      <c r="BB8" s="6"/>
      <c r="BC8" s="6"/>
      <c r="BD8" s="6"/>
      <c r="BE8" s="6"/>
      <c r="BF8" s="6"/>
      <c r="BG8" s="6" t="s">
        <v>359</v>
      </c>
      <c r="BH8" s="6"/>
      <c r="BI8" s="6"/>
      <c r="BJ8" s="6"/>
      <c r="BK8" s="6"/>
      <c r="BL8" s="6"/>
      <c r="BM8" s="6"/>
      <c r="BN8" s="6"/>
      <c r="BO8" s="6" t="s">
        <v>359</v>
      </c>
      <c r="BP8" s="6"/>
      <c r="BQ8" s="6"/>
      <c r="BR8" s="6"/>
      <c r="BS8" s="6" t="s">
        <v>359</v>
      </c>
      <c r="BT8" s="6"/>
      <c r="BU8" s="6" t="s">
        <v>359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</row>
    <row r="9" spans="2:223">
      <c r="E9" s="109"/>
      <c r="G9" s="4"/>
      <c r="Q9" s="107" t="s">
        <v>7</v>
      </c>
      <c r="R9" s="7"/>
      <c r="S9" s="8"/>
      <c r="T9" s="8"/>
      <c r="U9" s="8"/>
      <c r="V9" s="8" t="s">
        <v>342</v>
      </c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 t="s">
        <v>342</v>
      </c>
      <c r="BM9" s="8" t="s">
        <v>342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</row>
    <row r="10" spans="2:223">
      <c r="G10" s="4" t="s">
        <v>348</v>
      </c>
      <c r="Q10" s="5" t="s">
        <v>8</v>
      </c>
      <c r="R10" s="9">
        <f>$E$1</f>
        <v>44531</v>
      </c>
      <c r="S10" s="10" t="str">
        <f>IF(DAY(S11)=1,MONTH(S11),"")</f>
        <v/>
      </c>
      <c r="T10" s="10" t="str">
        <f t="shared" ref="T10:CE10" si="0">IF(DAY(T11)=1,MONTH(T11),"")</f>
        <v/>
      </c>
      <c r="U10" s="10" t="str">
        <f t="shared" si="0"/>
        <v/>
      </c>
      <c r="V10" s="10" t="str">
        <f t="shared" si="0"/>
        <v/>
      </c>
      <c r="W10" s="10" t="str">
        <f t="shared" si="0"/>
        <v/>
      </c>
      <c r="X10" s="10" t="str">
        <f t="shared" si="0"/>
        <v/>
      </c>
      <c r="Y10" s="10" t="str">
        <f t="shared" si="0"/>
        <v/>
      </c>
      <c r="Z10" s="10" t="str">
        <f t="shared" si="0"/>
        <v/>
      </c>
      <c r="AA10" s="10" t="str">
        <f t="shared" si="0"/>
        <v/>
      </c>
      <c r="AB10" s="10" t="str">
        <f t="shared" si="0"/>
        <v/>
      </c>
      <c r="AC10" s="10" t="str">
        <f t="shared" si="0"/>
        <v/>
      </c>
      <c r="AD10" s="10" t="str">
        <f t="shared" si="0"/>
        <v/>
      </c>
      <c r="AE10" s="10" t="str">
        <f t="shared" si="0"/>
        <v/>
      </c>
      <c r="AF10" s="10" t="str">
        <f t="shared" si="0"/>
        <v/>
      </c>
      <c r="AG10" s="10" t="str">
        <f t="shared" si="0"/>
        <v/>
      </c>
      <c r="AH10" s="10" t="str">
        <f t="shared" si="0"/>
        <v/>
      </c>
      <c r="AI10" s="10" t="str">
        <f t="shared" si="0"/>
        <v/>
      </c>
      <c r="AJ10" s="10" t="str">
        <f t="shared" si="0"/>
        <v/>
      </c>
      <c r="AK10" s="10" t="str">
        <f t="shared" si="0"/>
        <v/>
      </c>
      <c r="AL10" s="10" t="str">
        <f t="shared" si="0"/>
        <v/>
      </c>
      <c r="AM10" s="10" t="str">
        <f t="shared" si="0"/>
        <v/>
      </c>
      <c r="AN10" s="10" t="str">
        <f t="shared" si="0"/>
        <v/>
      </c>
      <c r="AO10" s="10" t="str">
        <f t="shared" si="0"/>
        <v/>
      </c>
      <c r="AP10" s="10" t="str">
        <f t="shared" si="0"/>
        <v/>
      </c>
      <c r="AQ10" s="10" t="str">
        <f t="shared" si="0"/>
        <v/>
      </c>
      <c r="AR10" s="10" t="str">
        <f t="shared" si="0"/>
        <v/>
      </c>
      <c r="AS10" s="10" t="str">
        <f t="shared" si="0"/>
        <v/>
      </c>
      <c r="AT10" s="10" t="str">
        <f t="shared" si="0"/>
        <v/>
      </c>
      <c r="AU10" s="10" t="str">
        <f t="shared" si="0"/>
        <v/>
      </c>
      <c r="AV10" s="10" t="str">
        <f t="shared" si="0"/>
        <v/>
      </c>
      <c r="AW10" s="10">
        <f t="shared" si="0"/>
        <v>1</v>
      </c>
      <c r="AX10" s="10" t="str">
        <f t="shared" si="0"/>
        <v/>
      </c>
      <c r="AY10" s="10" t="str">
        <f t="shared" si="0"/>
        <v/>
      </c>
      <c r="AZ10" s="10" t="str">
        <f t="shared" si="0"/>
        <v/>
      </c>
      <c r="BA10" s="10" t="str">
        <f t="shared" si="0"/>
        <v/>
      </c>
      <c r="BB10" s="10" t="str">
        <f t="shared" si="0"/>
        <v/>
      </c>
      <c r="BC10" s="10" t="str">
        <f t="shared" si="0"/>
        <v/>
      </c>
      <c r="BD10" s="10" t="str">
        <f t="shared" si="0"/>
        <v/>
      </c>
      <c r="BE10" s="10" t="str">
        <f t="shared" si="0"/>
        <v/>
      </c>
      <c r="BF10" s="10" t="str">
        <f t="shared" si="0"/>
        <v/>
      </c>
      <c r="BG10" s="10" t="str">
        <f t="shared" si="0"/>
        <v/>
      </c>
      <c r="BH10" s="10" t="str">
        <f t="shared" si="0"/>
        <v/>
      </c>
      <c r="BI10" s="10" t="str">
        <f t="shared" si="0"/>
        <v/>
      </c>
      <c r="BJ10" s="10" t="str">
        <f t="shared" si="0"/>
        <v/>
      </c>
      <c r="BK10" s="10" t="str">
        <f t="shared" si="0"/>
        <v/>
      </c>
      <c r="BL10" s="10" t="str">
        <f t="shared" si="0"/>
        <v/>
      </c>
      <c r="BM10" s="10" t="str">
        <f t="shared" si="0"/>
        <v/>
      </c>
      <c r="BN10" s="10" t="str">
        <f t="shared" si="0"/>
        <v/>
      </c>
      <c r="BO10" s="10" t="str">
        <f t="shared" si="0"/>
        <v/>
      </c>
      <c r="BP10" s="10" t="str">
        <f t="shared" si="0"/>
        <v/>
      </c>
      <c r="BQ10" s="10" t="str">
        <f t="shared" si="0"/>
        <v/>
      </c>
      <c r="BR10" s="10" t="str">
        <f t="shared" si="0"/>
        <v/>
      </c>
      <c r="BS10" s="10" t="str">
        <f t="shared" si="0"/>
        <v/>
      </c>
      <c r="BT10" s="10" t="str">
        <f t="shared" si="0"/>
        <v/>
      </c>
      <c r="BU10" s="10" t="str">
        <f t="shared" si="0"/>
        <v/>
      </c>
      <c r="BV10" s="10" t="str">
        <f t="shared" si="0"/>
        <v/>
      </c>
      <c r="BW10" s="10" t="str">
        <f t="shared" si="0"/>
        <v/>
      </c>
      <c r="BX10" s="10" t="str">
        <f t="shared" si="0"/>
        <v/>
      </c>
      <c r="BY10" s="10" t="str">
        <f t="shared" si="0"/>
        <v/>
      </c>
      <c r="BZ10" s="10" t="str">
        <f t="shared" si="0"/>
        <v/>
      </c>
      <c r="CA10" s="10" t="str">
        <f t="shared" si="0"/>
        <v/>
      </c>
      <c r="CB10" s="10">
        <f t="shared" si="0"/>
        <v>2</v>
      </c>
      <c r="CC10" s="10" t="str">
        <f t="shared" si="0"/>
        <v/>
      </c>
      <c r="CD10" s="10" t="str">
        <f t="shared" si="0"/>
        <v/>
      </c>
      <c r="CE10" s="10" t="str">
        <f t="shared" si="0"/>
        <v/>
      </c>
      <c r="CF10" s="10" t="str">
        <f t="shared" ref="CF10:EQ10" si="1">IF(DAY(CF11)=1,MONTH(CF11),"")</f>
        <v/>
      </c>
      <c r="CG10" s="10" t="str">
        <f t="shared" si="1"/>
        <v/>
      </c>
      <c r="CH10" s="10" t="str">
        <f t="shared" si="1"/>
        <v/>
      </c>
      <c r="CI10" s="10" t="str">
        <f t="shared" si="1"/>
        <v/>
      </c>
      <c r="CJ10" s="10" t="str">
        <f t="shared" si="1"/>
        <v/>
      </c>
      <c r="CK10" s="10" t="str">
        <f t="shared" si="1"/>
        <v/>
      </c>
      <c r="CL10" s="10" t="str">
        <f t="shared" si="1"/>
        <v/>
      </c>
      <c r="CM10" s="10" t="str">
        <f t="shared" si="1"/>
        <v/>
      </c>
      <c r="CN10" s="10" t="str">
        <f t="shared" si="1"/>
        <v/>
      </c>
      <c r="CO10" s="10" t="str">
        <f t="shared" si="1"/>
        <v/>
      </c>
      <c r="CP10" s="10" t="str">
        <f t="shared" si="1"/>
        <v/>
      </c>
      <c r="CQ10" s="10" t="str">
        <f t="shared" si="1"/>
        <v/>
      </c>
      <c r="CR10" s="10" t="str">
        <f t="shared" si="1"/>
        <v/>
      </c>
      <c r="CS10" s="10" t="str">
        <f t="shared" si="1"/>
        <v/>
      </c>
      <c r="CT10" s="10" t="str">
        <f t="shared" si="1"/>
        <v/>
      </c>
      <c r="CU10" s="10" t="str">
        <f t="shared" si="1"/>
        <v/>
      </c>
      <c r="CV10" s="10" t="str">
        <f t="shared" si="1"/>
        <v/>
      </c>
      <c r="CW10" s="10" t="str">
        <f t="shared" si="1"/>
        <v/>
      </c>
      <c r="CX10" s="10" t="str">
        <f t="shared" si="1"/>
        <v/>
      </c>
      <c r="CY10" s="10" t="str">
        <f t="shared" si="1"/>
        <v/>
      </c>
      <c r="CZ10" s="10" t="str">
        <f t="shared" si="1"/>
        <v/>
      </c>
      <c r="DA10" s="10" t="str">
        <f t="shared" si="1"/>
        <v/>
      </c>
      <c r="DB10" s="10" t="str">
        <f t="shared" si="1"/>
        <v/>
      </c>
      <c r="DC10" s="10" t="str">
        <f t="shared" si="1"/>
        <v/>
      </c>
      <c r="DD10" s="10">
        <f t="shared" si="1"/>
        <v>3</v>
      </c>
      <c r="DE10" s="10" t="str">
        <f t="shared" si="1"/>
        <v/>
      </c>
      <c r="DF10" s="10" t="str">
        <f t="shared" si="1"/>
        <v/>
      </c>
      <c r="DG10" s="10" t="str">
        <f t="shared" si="1"/>
        <v/>
      </c>
      <c r="DH10" s="10" t="str">
        <f t="shared" si="1"/>
        <v/>
      </c>
      <c r="DI10" s="10" t="str">
        <f t="shared" si="1"/>
        <v/>
      </c>
      <c r="DJ10" s="10" t="str">
        <f t="shared" si="1"/>
        <v/>
      </c>
      <c r="DK10" s="10" t="str">
        <f t="shared" si="1"/>
        <v/>
      </c>
      <c r="DL10" s="10" t="str">
        <f t="shared" si="1"/>
        <v/>
      </c>
      <c r="DM10" s="10" t="str">
        <f t="shared" si="1"/>
        <v/>
      </c>
      <c r="DN10" s="10" t="str">
        <f t="shared" si="1"/>
        <v/>
      </c>
      <c r="DO10" s="10" t="str">
        <f t="shared" si="1"/>
        <v/>
      </c>
      <c r="DP10" s="10" t="str">
        <f t="shared" si="1"/>
        <v/>
      </c>
      <c r="DQ10" s="10" t="str">
        <f t="shared" si="1"/>
        <v/>
      </c>
      <c r="DR10" s="10" t="str">
        <f t="shared" si="1"/>
        <v/>
      </c>
      <c r="DS10" s="10" t="str">
        <f t="shared" si="1"/>
        <v/>
      </c>
      <c r="DT10" s="10" t="str">
        <f t="shared" si="1"/>
        <v/>
      </c>
      <c r="DU10" s="10" t="str">
        <f t="shared" si="1"/>
        <v/>
      </c>
      <c r="DV10" s="10" t="str">
        <f t="shared" si="1"/>
        <v/>
      </c>
      <c r="DW10" s="10" t="str">
        <f t="shared" si="1"/>
        <v/>
      </c>
      <c r="DX10" s="10" t="str">
        <f t="shared" si="1"/>
        <v/>
      </c>
      <c r="DY10" s="10" t="str">
        <f t="shared" si="1"/>
        <v/>
      </c>
      <c r="DZ10" s="10" t="str">
        <f t="shared" si="1"/>
        <v/>
      </c>
      <c r="EA10" s="10" t="str">
        <f t="shared" si="1"/>
        <v/>
      </c>
      <c r="EB10" s="10" t="str">
        <f t="shared" si="1"/>
        <v/>
      </c>
      <c r="EC10" s="10" t="str">
        <f t="shared" si="1"/>
        <v/>
      </c>
      <c r="ED10" s="10" t="str">
        <f t="shared" si="1"/>
        <v/>
      </c>
      <c r="EE10" s="10" t="str">
        <f t="shared" si="1"/>
        <v/>
      </c>
      <c r="EF10" s="10" t="str">
        <f t="shared" si="1"/>
        <v/>
      </c>
      <c r="EG10" s="10" t="str">
        <f t="shared" si="1"/>
        <v/>
      </c>
      <c r="EH10" s="10" t="str">
        <f t="shared" si="1"/>
        <v/>
      </c>
      <c r="EI10" s="10">
        <f t="shared" si="1"/>
        <v>4</v>
      </c>
      <c r="EJ10" s="10" t="str">
        <f t="shared" si="1"/>
        <v/>
      </c>
      <c r="EK10" s="10" t="str">
        <f t="shared" si="1"/>
        <v/>
      </c>
      <c r="EL10" s="10" t="str">
        <f t="shared" si="1"/>
        <v/>
      </c>
      <c r="EM10" s="10" t="str">
        <f t="shared" si="1"/>
        <v/>
      </c>
      <c r="EN10" s="10" t="str">
        <f t="shared" si="1"/>
        <v/>
      </c>
      <c r="EO10" s="10" t="str">
        <f t="shared" si="1"/>
        <v/>
      </c>
      <c r="EP10" s="10" t="str">
        <f t="shared" si="1"/>
        <v/>
      </c>
      <c r="EQ10" s="10" t="str">
        <f t="shared" si="1"/>
        <v/>
      </c>
      <c r="ER10" s="10" t="str">
        <f t="shared" ref="ER10:HC10" si="2">IF(DAY(ER11)=1,MONTH(ER11),"")</f>
        <v/>
      </c>
      <c r="ES10" s="10" t="str">
        <f t="shared" si="2"/>
        <v/>
      </c>
      <c r="ET10" s="10" t="str">
        <f t="shared" si="2"/>
        <v/>
      </c>
      <c r="EU10" s="10" t="str">
        <f t="shared" si="2"/>
        <v/>
      </c>
      <c r="EV10" s="10" t="str">
        <f t="shared" si="2"/>
        <v/>
      </c>
      <c r="EW10" s="10" t="str">
        <f t="shared" si="2"/>
        <v/>
      </c>
      <c r="EX10" s="10" t="str">
        <f t="shared" si="2"/>
        <v/>
      </c>
      <c r="EY10" s="10" t="str">
        <f t="shared" si="2"/>
        <v/>
      </c>
      <c r="EZ10" s="10" t="str">
        <f t="shared" si="2"/>
        <v/>
      </c>
      <c r="FA10" s="10" t="str">
        <f t="shared" si="2"/>
        <v/>
      </c>
      <c r="FB10" s="10" t="str">
        <f t="shared" si="2"/>
        <v/>
      </c>
      <c r="FC10" s="10" t="str">
        <f t="shared" si="2"/>
        <v/>
      </c>
      <c r="FD10" s="10" t="str">
        <f t="shared" si="2"/>
        <v/>
      </c>
      <c r="FE10" s="10" t="str">
        <f t="shared" si="2"/>
        <v/>
      </c>
      <c r="FF10" s="10" t="str">
        <f t="shared" si="2"/>
        <v/>
      </c>
      <c r="FG10" s="10" t="str">
        <f t="shared" si="2"/>
        <v/>
      </c>
      <c r="FH10" s="10" t="str">
        <f t="shared" si="2"/>
        <v/>
      </c>
      <c r="FI10" s="10" t="str">
        <f t="shared" si="2"/>
        <v/>
      </c>
      <c r="FJ10" s="10" t="str">
        <f t="shared" si="2"/>
        <v/>
      </c>
      <c r="FK10" s="10" t="str">
        <f t="shared" si="2"/>
        <v/>
      </c>
      <c r="FL10" s="10" t="str">
        <f t="shared" si="2"/>
        <v/>
      </c>
      <c r="FM10" s="10">
        <f t="shared" si="2"/>
        <v>5</v>
      </c>
      <c r="FN10" s="10" t="str">
        <f t="shared" si="2"/>
        <v/>
      </c>
      <c r="FO10" s="10" t="str">
        <f t="shared" si="2"/>
        <v/>
      </c>
      <c r="FP10" s="10" t="str">
        <f t="shared" si="2"/>
        <v/>
      </c>
      <c r="FQ10" s="10" t="str">
        <f t="shared" si="2"/>
        <v/>
      </c>
      <c r="FR10" s="10" t="str">
        <f t="shared" si="2"/>
        <v/>
      </c>
      <c r="FS10" s="10" t="str">
        <f t="shared" si="2"/>
        <v/>
      </c>
      <c r="FT10" s="10" t="str">
        <f t="shared" si="2"/>
        <v/>
      </c>
      <c r="FU10" s="10" t="str">
        <f t="shared" si="2"/>
        <v/>
      </c>
      <c r="FV10" s="10" t="str">
        <f t="shared" si="2"/>
        <v/>
      </c>
      <c r="FW10" s="10" t="str">
        <f t="shared" si="2"/>
        <v/>
      </c>
      <c r="FX10" s="10" t="str">
        <f t="shared" si="2"/>
        <v/>
      </c>
      <c r="FY10" s="10" t="str">
        <f t="shared" si="2"/>
        <v/>
      </c>
      <c r="FZ10" s="10" t="str">
        <f t="shared" si="2"/>
        <v/>
      </c>
      <c r="GA10" s="10" t="str">
        <f t="shared" si="2"/>
        <v/>
      </c>
      <c r="GB10" s="10" t="str">
        <f t="shared" si="2"/>
        <v/>
      </c>
      <c r="GC10" s="10" t="str">
        <f t="shared" si="2"/>
        <v/>
      </c>
      <c r="GD10" s="10" t="str">
        <f t="shared" si="2"/>
        <v/>
      </c>
      <c r="GE10" s="10" t="str">
        <f t="shared" si="2"/>
        <v/>
      </c>
      <c r="GF10" s="10" t="str">
        <f t="shared" si="2"/>
        <v/>
      </c>
      <c r="GG10" s="10" t="str">
        <f t="shared" si="2"/>
        <v/>
      </c>
      <c r="GH10" s="10" t="str">
        <f t="shared" si="2"/>
        <v/>
      </c>
      <c r="GI10" s="10" t="str">
        <f t="shared" si="2"/>
        <v/>
      </c>
      <c r="GJ10" s="10" t="str">
        <f t="shared" si="2"/>
        <v/>
      </c>
      <c r="GK10" s="10" t="str">
        <f t="shared" si="2"/>
        <v/>
      </c>
      <c r="GL10" s="10" t="str">
        <f t="shared" si="2"/>
        <v/>
      </c>
      <c r="GM10" s="10" t="str">
        <f t="shared" si="2"/>
        <v/>
      </c>
      <c r="GN10" s="10" t="str">
        <f t="shared" si="2"/>
        <v/>
      </c>
      <c r="GO10" s="10" t="str">
        <f t="shared" si="2"/>
        <v/>
      </c>
      <c r="GP10" s="10" t="str">
        <f t="shared" si="2"/>
        <v/>
      </c>
      <c r="GQ10" s="10" t="str">
        <f t="shared" si="2"/>
        <v/>
      </c>
      <c r="GR10" s="10">
        <f t="shared" si="2"/>
        <v>6</v>
      </c>
      <c r="GS10" s="10" t="str">
        <f t="shared" si="2"/>
        <v/>
      </c>
      <c r="GT10" s="10" t="str">
        <f t="shared" si="2"/>
        <v/>
      </c>
      <c r="GU10" s="10" t="str">
        <f t="shared" si="2"/>
        <v/>
      </c>
      <c r="GV10" s="10" t="str">
        <f t="shared" si="2"/>
        <v/>
      </c>
      <c r="GW10" s="10" t="str">
        <f t="shared" si="2"/>
        <v/>
      </c>
      <c r="GX10" s="10" t="str">
        <f t="shared" si="2"/>
        <v/>
      </c>
      <c r="GY10" s="10" t="str">
        <f t="shared" si="2"/>
        <v/>
      </c>
      <c r="GZ10" s="10" t="str">
        <f t="shared" si="2"/>
        <v/>
      </c>
      <c r="HA10" s="10" t="str">
        <f t="shared" si="2"/>
        <v/>
      </c>
      <c r="HB10" s="10" t="str">
        <f t="shared" si="2"/>
        <v/>
      </c>
      <c r="HC10" s="10" t="str">
        <f t="shared" si="2"/>
        <v/>
      </c>
      <c r="HD10" s="10" t="str">
        <f t="shared" ref="HD10:HO10" si="3">IF(DAY(HD11)=1,MONTH(HD11),"")</f>
        <v/>
      </c>
      <c r="HE10" s="10" t="str">
        <f t="shared" si="3"/>
        <v/>
      </c>
      <c r="HF10" s="10" t="str">
        <f t="shared" si="3"/>
        <v/>
      </c>
      <c r="HG10" s="10" t="str">
        <f t="shared" si="3"/>
        <v/>
      </c>
      <c r="HH10" s="10" t="str">
        <f t="shared" si="3"/>
        <v/>
      </c>
      <c r="HI10" s="10" t="str">
        <f t="shared" si="3"/>
        <v/>
      </c>
      <c r="HJ10" s="10" t="str">
        <f t="shared" si="3"/>
        <v/>
      </c>
      <c r="HK10" s="10" t="str">
        <f t="shared" si="3"/>
        <v/>
      </c>
      <c r="HL10" s="10" t="str">
        <f t="shared" si="3"/>
        <v/>
      </c>
      <c r="HM10" s="10" t="str">
        <f t="shared" si="3"/>
        <v/>
      </c>
      <c r="HN10" s="10" t="str">
        <f t="shared" si="3"/>
        <v/>
      </c>
      <c r="HO10" s="10" t="str">
        <f t="shared" si="3"/>
        <v/>
      </c>
    </row>
    <row r="11" spans="2:223" ht="14.25" customHeight="1">
      <c r="B11" s="150" t="s">
        <v>9</v>
      </c>
      <c r="C11" s="150" t="s">
        <v>10</v>
      </c>
      <c r="D11" s="150" t="s">
        <v>352</v>
      </c>
      <c r="E11" s="150" t="s">
        <v>350</v>
      </c>
      <c r="F11" s="150" t="s">
        <v>347</v>
      </c>
      <c r="G11" s="150" t="s">
        <v>11</v>
      </c>
      <c r="H11" s="150" t="s">
        <v>12</v>
      </c>
      <c r="I11" s="162" t="s">
        <v>354</v>
      </c>
      <c r="J11" s="164" t="s">
        <v>13</v>
      </c>
      <c r="K11" s="165"/>
      <c r="L11" s="166"/>
      <c r="M11" s="155" t="s">
        <v>14</v>
      </c>
      <c r="N11" s="156"/>
      <c r="O11" s="157"/>
      <c r="P11" s="150" t="s">
        <v>15</v>
      </c>
      <c r="Q11" s="11" t="s">
        <v>16</v>
      </c>
      <c r="R11" s="12">
        <f>$E$1</f>
        <v>44531</v>
      </c>
      <c r="S11" s="12">
        <f>R11+1</f>
        <v>44532</v>
      </c>
      <c r="T11" s="12">
        <f t="shared" ref="T11:CE11" si="4">S11+1</f>
        <v>44533</v>
      </c>
      <c r="U11" s="12">
        <f t="shared" si="4"/>
        <v>44534</v>
      </c>
      <c r="V11" s="12">
        <f t="shared" si="4"/>
        <v>44535</v>
      </c>
      <c r="W11" s="12">
        <f t="shared" si="4"/>
        <v>44536</v>
      </c>
      <c r="X11" s="12">
        <f t="shared" si="4"/>
        <v>44537</v>
      </c>
      <c r="Y11" s="12">
        <f t="shared" si="4"/>
        <v>44538</v>
      </c>
      <c r="Z11" s="12">
        <f t="shared" si="4"/>
        <v>44539</v>
      </c>
      <c r="AA11" s="12">
        <f t="shared" si="4"/>
        <v>44540</v>
      </c>
      <c r="AB11" s="12">
        <f t="shared" si="4"/>
        <v>44541</v>
      </c>
      <c r="AC11" s="12">
        <f t="shared" si="4"/>
        <v>44542</v>
      </c>
      <c r="AD11" s="12">
        <f>AC11+1</f>
        <v>44543</v>
      </c>
      <c r="AE11" s="12">
        <f t="shared" si="4"/>
        <v>44544</v>
      </c>
      <c r="AF11" s="12">
        <f t="shared" si="4"/>
        <v>44545</v>
      </c>
      <c r="AG11" s="12">
        <f t="shared" si="4"/>
        <v>44546</v>
      </c>
      <c r="AH11" s="12">
        <f t="shared" si="4"/>
        <v>44547</v>
      </c>
      <c r="AI11" s="12">
        <f t="shared" si="4"/>
        <v>44548</v>
      </c>
      <c r="AJ11" s="12">
        <f t="shared" si="4"/>
        <v>44549</v>
      </c>
      <c r="AK11" s="12">
        <f t="shared" si="4"/>
        <v>44550</v>
      </c>
      <c r="AL11" s="12">
        <f t="shared" si="4"/>
        <v>44551</v>
      </c>
      <c r="AM11" s="12">
        <f t="shared" si="4"/>
        <v>44552</v>
      </c>
      <c r="AN11" s="12">
        <f t="shared" si="4"/>
        <v>44553</v>
      </c>
      <c r="AO11" s="12">
        <f t="shared" si="4"/>
        <v>44554</v>
      </c>
      <c r="AP11" s="12">
        <f t="shared" si="4"/>
        <v>44555</v>
      </c>
      <c r="AQ11" s="12">
        <f t="shared" si="4"/>
        <v>44556</v>
      </c>
      <c r="AR11" s="12">
        <f t="shared" si="4"/>
        <v>44557</v>
      </c>
      <c r="AS11" s="12">
        <f t="shared" si="4"/>
        <v>44558</v>
      </c>
      <c r="AT11" s="12">
        <f t="shared" si="4"/>
        <v>44559</v>
      </c>
      <c r="AU11" s="12">
        <f t="shared" si="4"/>
        <v>44560</v>
      </c>
      <c r="AV11" s="12">
        <f t="shared" si="4"/>
        <v>44561</v>
      </c>
      <c r="AW11" s="12">
        <f t="shared" si="4"/>
        <v>44562</v>
      </c>
      <c r="AX11" s="12">
        <f t="shared" si="4"/>
        <v>44563</v>
      </c>
      <c r="AY11" s="12">
        <f t="shared" si="4"/>
        <v>44564</v>
      </c>
      <c r="AZ11" s="12">
        <f t="shared" si="4"/>
        <v>44565</v>
      </c>
      <c r="BA11" s="12">
        <f t="shared" si="4"/>
        <v>44566</v>
      </c>
      <c r="BB11" s="12">
        <f t="shared" si="4"/>
        <v>44567</v>
      </c>
      <c r="BC11" s="12">
        <f t="shared" si="4"/>
        <v>44568</v>
      </c>
      <c r="BD11" s="12">
        <f t="shared" si="4"/>
        <v>44569</v>
      </c>
      <c r="BE11" s="12">
        <f t="shared" si="4"/>
        <v>44570</v>
      </c>
      <c r="BF11" s="12">
        <f t="shared" si="4"/>
        <v>44571</v>
      </c>
      <c r="BG11" s="12">
        <f t="shared" si="4"/>
        <v>44572</v>
      </c>
      <c r="BH11" s="12">
        <f t="shared" si="4"/>
        <v>44573</v>
      </c>
      <c r="BI11" s="12">
        <f t="shared" si="4"/>
        <v>44574</v>
      </c>
      <c r="BJ11" s="12">
        <f>BI11+1</f>
        <v>44575</v>
      </c>
      <c r="BK11" s="12">
        <f t="shared" si="4"/>
        <v>44576</v>
      </c>
      <c r="BL11" s="12">
        <f t="shared" si="4"/>
        <v>44577</v>
      </c>
      <c r="BM11" s="12">
        <f t="shared" si="4"/>
        <v>44578</v>
      </c>
      <c r="BN11" s="12">
        <f t="shared" si="4"/>
        <v>44579</v>
      </c>
      <c r="BO11" s="12">
        <f t="shared" si="4"/>
        <v>44580</v>
      </c>
      <c r="BP11" s="12">
        <f t="shared" si="4"/>
        <v>44581</v>
      </c>
      <c r="BQ11" s="12">
        <f t="shared" si="4"/>
        <v>44582</v>
      </c>
      <c r="BR11" s="12">
        <f t="shared" si="4"/>
        <v>44583</v>
      </c>
      <c r="BS11" s="12">
        <f t="shared" si="4"/>
        <v>44584</v>
      </c>
      <c r="BT11" s="12">
        <f t="shared" si="4"/>
        <v>44585</v>
      </c>
      <c r="BU11" s="12">
        <f t="shared" si="4"/>
        <v>44586</v>
      </c>
      <c r="BV11" s="12">
        <f t="shared" si="4"/>
        <v>44587</v>
      </c>
      <c r="BW11" s="12">
        <f t="shared" si="4"/>
        <v>44588</v>
      </c>
      <c r="BX11" s="12">
        <f t="shared" si="4"/>
        <v>44589</v>
      </c>
      <c r="BY11" s="12">
        <f t="shared" si="4"/>
        <v>44590</v>
      </c>
      <c r="BZ11" s="12">
        <f t="shared" si="4"/>
        <v>44591</v>
      </c>
      <c r="CA11" s="12">
        <f t="shared" si="4"/>
        <v>44592</v>
      </c>
      <c r="CB11" s="12">
        <f t="shared" si="4"/>
        <v>44593</v>
      </c>
      <c r="CC11" s="12">
        <f t="shared" si="4"/>
        <v>44594</v>
      </c>
      <c r="CD11" s="12">
        <f t="shared" si="4"/>
        <v>44595</v>
      </c>
      <c r="CE11" s="12">
        <f t="shared" si="4"/>
        <v>44596</v>
      </c>
      <c r="CF11" s="12">
        <f t="shared" ref="CF11:EQ11" si="5">CE11+1</f>
        <v>44597</v>
      </c>
      <c r="CG11" s="12">
        <f t="shared" si="5"/>
        <v>44598</v>
      </c>
      <c r="CH11" s="12">
        <f t="shared" si="5"/>
        <v>44599</v>
      </c>
      <c r="CI11" s="12">
        <f t="shared" si="5"/>
        <v>44600</v>
      </c>
      <c r="CJ11" s="12">
        <f t="shared" si="5"/>
        <v>44601</v>
      </c>
      <c r="CK11" s="12">
        <f t="shared" si="5"/>
        <v>44602</v>
      </c>
      <c r="CL11" s="12">
        <f t="shared" si="5"/>
        <v>44603</v>
      </c>
      <c r="CM11" s="12">
        <f t="shared" si="5"/>
        <v>44604</v>
      </c>
      <c r="CN11" s="12">
        <f t="shared" si="5"/>
        <v>44605</v>
      </c>
      <c r="CO11" s="12">
        <f t="shared" si="5"/>
        <v>44606</v>
      </c>
      <c r="CP11" s="12">
        <f t="shared" si="5"/>
        <v>44607</v>
      </c>
      <c r="CQ11" s="12">
        <f t="shared" si="5"/>
        <v>44608</v>
      </c>
      <c r="CR11" s="12">
        <f t="shared" si="5"/>
        <v>44609</v>
      </c>
      <c r="CS11" s="12">
        <f t="shared" si="5"/>
        <v>44610</v>
      </c>
      <c r="CT11" s="12">
        <f t="shared" si="5"/>
        <v>44611</v>
      </c>
      <c r="CU11" s="12">
        <f t="shared" si="5"/>
        <v>44612</v>
      </c>
      <c r="CV11" s="12">
        <f t="shared" si="5"/>
        <v>44613</v>
      </c>
      <c r="CW11" s="12">
        <f t="shared" si="5"/>
        <v>44614</v>
      </c>
      <c r="CX11" s="12">
        <f t="shared" si="5"/>
        <v>44615</v>
      </c>
      <c r="CY11" s="12">
        <f t="shared" si="5"/>
        <v>44616</v>
      </c>
      <c r="CZ11" s="12">
        <f t="shared" si="5"/>
        <v>44617</v>
      </c>
      <c r="DA11" s="12">
        <f t="shared" si="5"/>
        <v>44618</v>
      </c>
      <c r="DB11" s="12">
        <f t="shared" si="5"/>
        <v>44619</v>
      </c>
      <c r="DC11" s="12">
        <f t="shared" si="5"/>
        <v>44620</v>
      </c>
      <c r="DD11" s="12">
        <f t="shared" si="5"/>
        <v>44621</v>
      </c>
      <c r="DE11" s="12">
        <f t="shared" si="5"/>
        <v>44622</v>
      </c>
      <c r="DF11" s="12">
        <f t="shared" si="5"/>
        <v>44623</v>
      </c>
      <c r="DG11" s="12">
        <f t="shared" si="5"/>
        <v>44624</v>
      </c>
      <c r="DH11" s="12">
        <f t="shared" si="5"/>
        <v>44625</v>
      </c>
      <c r="DI11" s="12">
        <f t="shared" si="5"/>
        <v>44626</v>
      </c>
      <c r="DJ11" s="12">
        <f t="shared" si="5"/>
        <v>44627</v>
      </c>
      <c r="DK11" s="12">
        <f t="shared" si="5"/>
        <v>44628</v>
      </c>
      <c r="DL11" s="12">
        <f t="shared" si="5"/>
        <v>44629</v>
      </c>
      <c r="DM11" s="12">
        <f t="shared" si="5"/>
        <v>44630</v>
      </c>
      <c r="DN11" s="12">
        <f t="shared" si="5"/>
        <v>44631</v>
      </c>
      <c r="DO11" s="12">
        <f t="shared" si="5"/>
        <v>44632</v>
      </c>
      <c r="DP11" s="12">
        <f t="shared" si="5"/>
        <v>44633</v>
      </c>
      <c r="DQ11" s="12">
        <f t="shared" si="5"/>
        <v>44634</v>
      </c>
      <c r="DR11" s="12">
        <f t="shared" si="5"/>
        <v>44635</v>
      </c>
      <c r="DS11" s="12">
        <f t="shared" si="5"/>
        <v>44636</v>
      </c>
      <c r="DT11" s="12">
        <f t="shared" si="5"/>
        <v>44637</v>
      </c>
      <c r="DU11" s="12">
        <f t="shared" si="5"/>
        <v>44638</v>
      </c>
      <c r="DV11" s="12">
        <f t="shared" si="5"/>
        <v>44639</v>
      </c>
      <c r="DW11" s="12">
        <f t="shared" si="5"/>
        <v>44640</v>
      </c>
      <c r="DX11" s="12">
        <f t="shared" si="5"/>
        <v>44641</v>
      </c>
      <c r="DY11" s="12">
        <f t="shared" si="5"/>
        <v>44642</v>
      </c>
      <c r="DZ11" s="12">
        <f t="shared" si="5"/>
        <v>44643</v>
      </c>
      <c r="EA11" s="12">
        <f t="shared" si="5"/>
        <v>44644</v>
      </c>
      <c r="EB11" s="12">
        <f t="shared" si="5"/>
        <v>44645</v>
      </c>
      <c r="EC11" s="12">
        <f t="shared" si="5"/>
        <v>44646</v>
      </c>
      <c r="ED11" s="12">
        <f t="shared" si="5"/>
        <v>44647</v>
      </c>
      <c r="EE11" s="12">
        <f t="shared" si="5"/>
        <v>44648</v>
      </c>
      <c r="EF11" s="12">
        <f t="shared" si="5"/>
        <v>44649</v>
      </c>
      <c r="EG11" s="12">
        <f t="shared" si="5"/>
        <v>44650</v>
      </c>
      <c r="EH11" s="12">
        <f t="shared" si="5"/>
        <v>44651</v>
      </c>
      <c r="EI11" s="12">
        <f t="shared" si="5"/>
        <v>44652</v>
      </c>
      <c r="EJ11" s="12">
        <f t="shared" si="5"/>
        <v>44653</v>
      </c>
      <c r="EK11" s="12">
        <f t="shared" si="5"/>
        <v>44654</v>
      </c>
      <c r="EL11" s="12">
        <f t="shared" si="5"/>
        <v>44655</v>
      </c>
      <c r="EM11" s="12">
        <f t="shared" si="5"/>
        <v>44656</v>
      </c>
      <c r="EN11" s="12">
        <f t="shared" si="5"/>
        <v>44657</v>
      </c>
      <c r="EO11" s="12">
        <f t="shared" si="5"/>
        <v>44658</v>
      </c>
      <c r="EP11" s="12">
        <f t="shared" si="5"/>
        <v>44659</v>
      </c>
      <c r="EQ11" s="12">
        <f t="shared" si="5"/>
        <v>44660</v>
      </c>
      <c r="ER11" s="12">
        <f t="shared" ref="ER11:HC11" si="6">EQ11+1</f>
        <v>44661</v>
      </c>
      <c r="ES11" s="12">
        <f t="shared" si="6"/>
        <v>44662</v>
      </c>
      <c r="ET11" s="12">
        <f t="shared" si="6"/>
        <v>44663</v>
      </c>
      <c r="EU11" s="12">
        <f t="shared" si="6"/>
        <v>44664</v>
      </c>
      <c r="EV11" s="12">
        <f t="shared" si="6"/>
        <v>44665</v>
      </c>
      <c r="EW11" s="12">
        <f t="shared" si="6"/>
        <v>44666</v>
      </c>
      <c r="EX11" s="12">
        <f t="shared" si="6"/>
        <v>44667</v>
      </c>
      <c r="EY11" s="12">
        <f t="shared" si="6"/>
        <v>44668</v>
      </c>
      <c r="EZ11" s="12">
        <f t="shared" si="6"/>
        <v>44669</v>
      </c>
      <c r="FA11" s="12">
        <f t="shared" si="6"/>
        <v>44670</v>
      </c>
      <c r="FB11" s="12">
        <f t="shared" si="6"/>
        <v>44671</v>
      </c>
      <c r="FC11" s="12">
        <f t="shared" si="6"/>
        <v>44672</v>
      </c>
      <c r="FD11" s="12">
        <f t="shared" si="6"/>
        <v>44673</v>
      </c>
      <c r="FE11" s="12">
        <f t="shared" si="6"/>
        <v>44674</v>
      </c>
      <c r="FF11" s="12">
        <f t="shared" si="6"/>
        <v>44675</v>
      </c>
      <c r="FG11" s="12">
        <f t="shared" si="6"/>
        <v>44676</v>
      </c>
      <c r="FH11" s="12">
        <f t="shared" si="6"/>
        <v>44677</v>
      </c>
      <c r="FI11" s="12">
        <f t="shared" si="6"/>
        <v>44678</v>
      </c>
      <c r="FJ11" s="12">
        <f t="shared" si="6"/>
        <v>44679</v>
      </c>
      <c r="FK11" s="12">
        <f t="shared" si="6"/>
        <v>44680</v>
      </c>
      <c r="FL11" s="12">
        <f t="shared" si="6"/>
        <v>44681</v>
      </c>
      <c r="FM11" s="12">
        <f t="shared" si="6"/>
        <v>44682</v>
      </c>
      <c r="FN11" s="12">
        <f t="shared" si="6"/>
        <v>44683</v>
      </c>
      <c r="FO11" s="12">
        <f t="shared" si="6"/>
        <v>44684</v>
      </c>
      <c r="FP11" s="12">
        <f t="shared" si="6"/>
        <v>44685</v>
      </c>
      <c r="FQ11" s="12">
        <f t="shared" si="6"/>
        <v>44686</v>
      </c>
      <c r="FR11" s="12">
        <f t="shared" si="6"/>
        <v>44687</v>
      </c>
      <c r="FS11" s="12">
        <f t="shared" si="6"/>
        <v>44688</v>
      </c>
      <c r="FT11" s="12">
        <f t="shared" si="6"/>
        <v>44689</v>
      </c>
      <c r="FU11" s="12">
        <f t="shared" si="6"/>
        <v>44690</v>
      </c>
      <c r="FV11" s="12">
        <f t="shared" si="6"/>
        <v>44691</v>
      </c>
      <c r="FW11" s="12">
        <f t="shared" si="6"/>
        <v>44692</v>
      </c>
      <c r="FX11" s="12">
        <f t="shared" si="6"/>
        <v>44693</v>
      </c>
      <c r="FY11" s="12">
        <f t="shared" si="6"/>
        <v>44694</v>
      </c>
      <c r="FZ11" s="12">
        <f t="shared" si="6"/>
        <v>44695</v>
      </c>
      <c r="GA11" s="12">
        <f t="shared" si="6"/>
        <v>44696</v>
      </c>
      <c r="GB11" s="12">
        <f t="shared" si="6"/>
        <v>44697</v>
      </c>
      <c r="GC11" s="12">
        <f t="shared" si="6"/>
        <v>44698</v>
      </c>
      <c r="GD11" s="12">
        <f t="shared" si="6"/>
        <v>44699</v>
      </c>
      <c r="GE11" s="12">
        <f t="shared" si="6"/>
        <v>44700</v>
      </c>
      <c r="GF11" s="12">
        <f t="shared" si="6"/>
        <v>44701</v>
      </c>
      <c r="GG11" s="12">
        <f t="shared" si="6"/>
        <v>44702</v>
      </c>
      <c r="GH11" s="12">
        <f t="shared" si="6"/>
        <v>44703</v>
      </c>
      <c r="GI11" s="12">
        <f t="shared" si="6"/>
        <v>44704</v>
      </c>
      <c r="GJ11" s="12">
        <f t="shared" si="6"/>
        <v>44705</v>
      </c>
      <c r="GK11" s="12">
        <f t="shared" si="6"/>
        <v>44706</v>
      </c>
      <c r="GL11" s="12">
        <f t="shared" si="6"/>
        <v>44707</v>
      </c>
      <c r="GM11" s="12">
        <f t="shared" si="6"/>
        <v>44708</v>
      </c>
      <c r="GN11" s="12">
        <f t="shared" si="6"/>
        <v>44709</v>
      </c>
      <c r="GO11" s="12">
        <f t="shared" si="6"/>
        <v>44710</v>
      </c>
      <c r="GP11" s="12">
        <f t="shared" si="6"/>
        <v>44711</v>
      </c>
      <c r="GQ11" s="12">
        <f t="shared" si="6"/>
        <v>44712</v>
      </c>
      <c r="GR11" s="12">
        <f t="shared" si="6"/>
        <v>44713</v>
      </c>
      <c r="GS11" s="12">
        <f t="shared" si="6"/>
        <v>44714</v>
      </c>
      <c r="GT11" s="12">
        <f t="shared" si="6"/>
        <v>44715</v>
      </c>
      <c r="GU11" s="12">
        <f t="shared" si="6"/>
        <v>44716</v>
      </c>
      <c r="GV11" s="12">
        <f t="shared" si="6"/>
        <v>44717</v>
      </c>
      <c r="GW11" s="12">
        <f t="shared" si="6"/>
        <v>44718</v>
      </c>
      <c r="GX11" s="12">
        <f t="shared" si="6"/>
        <v>44719</v>
      </c>
      <c r="GY11" s="12">
        <f t="shared" si="6"/>
        <v>44720</v>
      </c>
      <c r="GZ11" s="12">
        <f t="shared" si="6"/>
        <v>44721</v>
      </c>
      <c r="HA11" s="12">
        <f t="shared" si="6"/>
        <v>44722</v>
      </c>
      <c r="HB11" s="12">
        <f t="shared" si="6"/>
        <v>44723</v>
      </c>
      <c r="HC11" s="12">
        <f t="shared" si="6"/>
        <v>44724</v>
      </c>
      <c r="HD11" s="12">
        <f t="shared" ref="HD11:HK11" si="7">HC11+1</f>
        <v>44725</v>
      </c>
      <c r="HE11" s="12">
        <f t="shared" si="7"/>
        <v>44726</v>
      </c>
      <c r="HF11" s="12">
        <f t="shared" si="7"/>
        <v>44727</v>
      </c>
      <c r="HG11" s="12">
        <f t="shared" si="7"/>
        <v>44728</v>
      </c>
      <c r="HH11" s="12">
        <f t="shared" si="7"/>
        <v>44729</v>
      </c>
      <c r="HI11" s="12">
        <f t="shared" si="7"/>
        <v>44730</v>
      </c>
      <c r="HJ11" s="12">
        <f t="shared" si="7"/>
        <v>44731</v>
      </c>
      <c r="HK11" s="12">
        <f t="shared" si="7"/>
        <v>44732</v>
      </c>
      <c r="HL11" s="12">
        <f>HK11+1</f>
        <v>44733</v>
      </c>
      <c r="HM11" s="12">
        <f>HL11+1</f>
        <v>44734</v>
      </c>
      <c r="HN11" s="12">
        <f>HM11+1</f>
        <v>44735</v>
      </c>
      <c r="HO11" s="12">
        <f>HN11+1</f>
        <v>44736</v>
      </c>
    </row>
    <row r="12" spans="2:223" ht="13.8" thickBot="1">
      <c r="B12" s="151"/>
      <c r="C12" s="151"/>
      <c r="D12" s="151"/>
      <c r="E12" s="151"/>
      <c r="F12" s="151"/>
      <c r="G12" s="151"/>
      <c r="H12" s="151"/>
      <c r="I12" s="151"/>
      <c r="J12" s="13" t="s">
        <v>17</v>
      </c>
      <c r="K12" s="14" t="s">
        <v>18</v>
      </c>
      <c r="L12" s="15" t="s">
        <v>19</v>
      </c>
      <c r="M12" s="16" t="s">
        <v>17</v>
      </c>
      <c r="N12" s="17" t="s">
        <v>18</v>
      </c>
      <c r="O12" s="18" t="s">
        <v>358</v>
      </c>
      <c r="P12" s="151"/>
      <c r="Q12" s="19" t="s">
        <v>20</v>
      </c>
      <c r="R12" s="20" t="str">
        <f>IF(R11=0," ",CHOOSE(WEEKDAY(R11),"日","月","火","水","木","金","土"))</f>
        <v>水</v>
      </c>
      <c r="S12" s="20" t="str">
        <f t="shared" ref="S12:CD12" si="8">IF(S11=0," ",CHOOSE(WEEKDAY(S11),"日","月","火","水","木","金","土"))</f>
        <v>木</v>
      </c>
      <c r="T12" s="20" t="str">
        <f t="shared" si="8"/>
        <v>金</v>
      </c>
      <c r="U12" s="20" t="str">
        <f t="shared" si="8"/>
        <v>土</v>
      </c>
      <c r="V12" s="20" t="str">
        <f t="shared" si="8"/>
        <v>日</v>
      </c>
      <c r="W12" s="20" t="str">
        <f t="shared" si="8"/>
        <v>月</v>
      </c>
      <c r="X12" s="20" t="str">
        <f t="shared" si="8"/>
        <v>火</v>
      </c>
      <c r="Y12" s="20" t="str">
        <f t="shared" si="8"/>
        <v>水</v>
      </c>
      <c r="Z12" s="20" t="str">
        <f t="shared" si="8"/>
        <v>木</v>
      </c>
      <c r="AA12" s="20" t="str">
        <f t="shared" si="8"/>
        <v>金</v>
      </c>
      <c r="AB12" s="20" t="str">
        <f t="shared" si="8"/>
        <v>土</v>
      </c>
      <c r="AC12" s="20" t="str">
        <f t="shared" si="8"/>
        <v>日</v>
      </c>
      <c r="AD12" s="20" t="str">
        <f t="shared" si="8"/>
        <v>月</v>
      </c>
      <c r="AE12" s="20" t="str">
        <f t="shared" si="8"/>
        <v>火</v>
      </c>
      <c r="AF12" s="20" t="str">
        <f t="shared" si="8"/>
        <v>水</v>
      </c>
      <c r="AG12" s="20" t="str">
        <f t="shared" si="8"/>
        <v>木</v>
      </c>
      <c r="AH12" s="20" t="str">
        <f t="shared" si="8"/>
        <v>金</v>
      </c>
      <c r="AI12" s="20" t="str">
        <f t="shared" si="8"/>
        <v>土</v>
      </c>
      <c r="AJ12" s="20" t="str">
        <f t="shared" si="8"/>
        <v>日</v>
      </c>
      <c r="AK12" s="20" t="str">
        <f t="shared" si="8"/>
        <v>月</v>
      </c>
      <c r="AL12" s="20" t="str">
        <f t="shared" si="8"/>
        <v>火</v>
      </c>
      <c r="AM12" s="20" t="str">
        <f t="shared" si="8"/>
        <v>水</v>
      </c>
      <c r="AN12" s="20" t="str">
        <f t="shared" si="8"/>
        <v>木</v>
      </c>
      <c r="AO12" s="20" t="str">
        <f t="shared" si="8"/>
        <v>金</v>
      </c>
      <c r="AP12" s="20" t="str">
        <f t="shared" si="8"/>
        <v>土</v>
      </c>
      <c r="AQ12" s="20" t="str">
        <f t="shared" si="8"/>
        <v>日</v>
      </c>
      <c r="AR12" s="20" t="str">
        <f t="shared" si="8"/>
        <v>月</v>
      </c>
      <c r="AS12" s="20" t="str">
        <f t="shared" si="8"/>
        <v>火</v>
      </c>
      <c r="AT12" s="20" t="str">
        <f t="shared" si="8"/>
        <v>水</v>
      </c>
      <c r="AU12" s="20" t="str">
        <f t="shared" si="8"/>
        <v>木</v>
      </c>
      <c r="AV12" s="20" t="str">
        <f t="shared" si="8"/>
        <v>金</v>
      </c>
      <c r="AW12" s="20" t="str">
        <f t="shared" si="8"/>
        <v>土</v>
      </c>
      <c r="AX12" s="20" t="str">
        <f t="shared" si="8"/>
        <v>日</v>
      </c>
      <c r="AY12" s="20" t="str">
        <f t="shared" si="8"/>
        <v>月</v>
      </c>
      <c r="AZ12" s="20" t="str">
        <f t="shared" si="8"/>
        <v>火</v>
      </c>
      <c r="BA12" s="20" t="str">
        <f t="shared" si="8"/>
        <v>水</v>
      </c>
      <c r="BB12" s="20" t="str">
        <f t="shared" si="8"/>
        <v>木</v>
      </c>
      <c r="BC12" s="20" t="str">
        <f t="shared" si="8"/>
        <v>金</v>
      </c>
      <c r="BD12" s="20" t="str">
        <f t="shared" si="8"/>
        <v>土</v>
      </c>
      <c r="BE12" s="20" t="str">
        <f t="shared" si="8"/>
        <v>日</v>
      </c>
      <c r="BF12" s="20" t="str">
        <f t="shared" si="8"/>
        <v>月</v>
      </c>
      <c r="BG12" s="20" t="str">
        <f t="shared" si="8"/>
        <v>火</v>
      </c>
      <c r="BH12" s="20" t="str">
        <f t="shared" si="8"/>
        <v>水</v>
      </c>
      <c r="BI12" s="20" t="str">
        <f t="shared" si="8"/>
        <v>木</v>
      </c>
      <c r="BJ12" s="20" t="str">
        <f t="shared" si="8"/>
        <v>金</v>
      </c>
      <c r="BK12" s="20" t="str">
        <f t="shared" si="8"/>
        <v>土</v>
      </c>
      <c r="BL12" s="20" t="str">
        <f t="shared" si="8"/>
        <v>日</v>
      </c>
      <c r="BM12" s="20" t="str">
        <f t="shared" si="8"/>
        <v>月</v>
      </c>
      <c r="BN12" s="20" t="str">
        <f t="shared" si="8"/>
        <v>火</v>
      </c>
      <c r="BO12" s="20" t="str">
        <f t="shared" si="8"/>
        <v>水</v>
      </c>
      <c r="BP12" s="20" t="str">
        <f t="shared" si="8"/>
        <v>木</v>
      </c>
      <c r="BQ12" s="20" t="str">
        <f t="shared" si="8"/>
        <v>金</v>
      </c>
      <c r="BR12" s="20" t="str">
        <f t="shared" si="8"/>
        <v>土</v>
      </c>
      <c r="BS12" s="20" t="str">
        <f t="shared" si="8"/>
        <v>日</v>
      </c>
      <c r="BT12" s="20" t="str">
        <f t="shared" si="8"/>
        <v>月</v>
      </c>
      <c r="BU12" s="20" t="str">
        <f t="shared" si="8"/>
        <v>火</v>
      </c>
      <c r="BV12" s="20" t="str">
        <f t="shared" si="8"/>
        <v>水</v>
      </c>
      <c r="BW12" s="20" t="str">
        <f t="shared" si="8"/>
        <v>木</v>
      </c>
      <c r="BX12" s="20" t="str">
        <f t="shared" si="8"/>
        <v>金</v>
      </c>
      <c r="BY12" s="20" t="str">
        <f t="shared" si="8"/>
        <v>土</v>
      </c>
      <c r="BZ12" s="20" t="str">
        <f t="shared" si="8"/>
        <v>日</v>
      </c>
      <c r="CA12" s="20" t="str">
        <f t="shared" si="8"/>
        <v>月</v>
      </c>
      <c r="CB12" s="20" t="str">
        <f t="shared" si="8"/>
        <v>火</v>
      </c>
      <c r="CC12" s="20" t="str">
        <f t="shared" si="8"/>
        <v>水</v>
      </c>
      <c r="CD12" s="20" t="str">
        <f t="shared" si="8"/>
        <v>木</v>
      </c>
      <c r="CE12" s="20" t="str">
        <f t="shared" ref="CE12:EP12" si="9">IF(CE11=0," ",CHOOSE(WEEKDAY(CE11),"日","月","火","水","木","金","土"))</f>
        <v>金</v>
      </c>
      <c r="CF12" s="20" t="str">
        <f t="shared" si="9"/>
        <v>土</v>
      </c>
      <c r="CG12" s="20" t="str">
        <f t="shared" si="9"/>
        <v>日</v>
      </c>
      <c r="CH12" s="20" t="str">
        <f t="shared" si="9"/>
        <v>月</v>
      </c>
      <c r="CI12" s="20" t="str">
        <f t="shared" si="9"/>
        <v>火</v>
      </c>
      <c r="CJ12" s="20" t="str">
        <f t="shared" si="9"/>
        <v>水</v>
      </c>
      <c r="CK12" s="20" t="str">
        <f t="shared" si="9"/>
        <v>木</v>
      </c>
      <c r="CL12" s="20" t="str">
        <f t="shared" si="9"/>
        <v>金</v>
      </c>
      <c r="CM12" s="20" t="str">
        <f t="shared" si="9"/>
        <v>土</v>
      </c>
      <c r="CN12" s="20" t="str">
        <f t="shared" si="9"/>
        <v>日</v>
      </c>
      <c r="CO12" s="20" t="str">
        <f t="shared" si="9"/>
        <v>月</v>
      </c>
      <c r="CP12" s="20" t="str">
        <f t="shared" si="9"/>
        <v>火</v>
      </c>
      <c r="CQ12" s="20" t="str">
        <f t="shared" si="9"/>
        <v>水</v>
      </c>
      <c r="CR12" s="20" t="str">
        <f t="shared" si="9"/>
        <v>木</v>
      </c>
      <c r="CS12" s="20" t="str">
        <f t="shared" si="9"/>
        <v>金</v>
      </c>
      <c r="CT12" s="20" t="str">
        <f t="shared" si="9"/>
        <v>土</v>
      </c>
      <c r="CU12" s="20" t="str">
        <f t="shared" si="9"/>
        <v>日</v>
      </c>
      <c r="CV12" s="20" t="str">
        <f t="shared" si="9"/>
        <v>月</v>
      </c>
      <c r="CW12" s="20" t="str">
        <f t="shared" si="9"/>
        <v>火</v>
      </c>
      <c r="CX12" s="20" t="str">
        <f t="shared" si="9"/>
        <v>水</v>
      </c>
      <c r="CY12" s="20" t="str">
        <f t="shared" si="9"/>
        <v>木</v>
      </c>
      <c r="CZ12" s="20" t="str">
        <f t="shared" si="9"/>
        <v>金</v>
      </c>
      <c r="DA12" s="20" t="str">
        <f t="shared" si="9"/>
        <v>土</v>
      </c>
      <c r="DB12" s="20" t="str">
        <f t="shared" si="9"/>
        <v>日</v>
      </c>
      <c r="DC12" s="20" t="str">
        <f t="shared" si="9"/>
        <v>月</v>
      </c>
      <c r="DD12" s="20" t="str">
        <f t="shared" si="9"/>
        <v>火</v>
      </c>
      <c r="DE12" s="20" t="str">
        <f t="shared" si="9"/>
        <v>水</v>
      </c>
      <c r="DF12" s="20" t="str">
        <f t="shared" si="9"/>
        <v>木</v>
      </c>
      <c r="DG12" s="20" t="str">
        <f t="shared" si="9"/>
        <v>金</v>
      </c>
      <c r="DH12" s="20" t="str">
        <f t="shared" si="9"/>
        <v>土</v>
      </c>
      <c r="DI12" s="20" t="str">
        <f t="shared" si="9"/>
        <v>日</v>
      </c>
      <c r="DJ12" s="20" t="str">
        <f t="shared" si="9"/>
        <v>月</v>
      </c>
      <c r="DK12" s="20" t="str">
        <f t="shared" si="9"/>
        <v>火</v>
      </c>
      <c r="DL12" s="20" t="str">
        <f t="shared" si="9"/>
        <v>水</v>
      </c>
      <c r="DM12" s="20" t="str">
        <f t="shared" si="9"/>
        <v>木</v>
      </c>
      <c r="DN12" s="20" t="str">
        <f t="shared" si="9"/>
        <v>金</v>
      </c>
      <c r="DO12" s="20" t="str">
        <f t="shared" si="9"/>
        <v>土</v>
      </c>
      <c r="DP12" s="20" t="str">
        <f t="shared" si="9"/>
        <v>日</v>
      </c>
      <c r="DQ12" s="20" t="str">
        <f t="shared" si="9"/>
        <v>月</v>
      </c>
      <c r="DR12" s="20" t="str">
        <f t="shared" si="9"/>
        <v>火</v>
      </c>
      <c r="DS12" s="20" t="str">
        <f t="shared" si="9"/>
        <v>水</v>
      </c>
      <c r="DT12" s="20" t="str">
        <f t="shared" si="9"/>
        <v>木</v>
      </c>
      <c r="DU12" s="20" t="str">
        <f t="shared" si="9"/>
        <v>金</v>
      </c>
      <c r="DV12" s="20" t="str">
        <f t="shared" si="9"/>
        <v>土</v>
      </c>
      <c r="DW12" s="20" t="str">
        <f t="shared" si="9"/>
        <v>日</v>
      </c>
      <c r="DX12" s="20" t="str">
        <f t="shared" si="9"/>
        <v>月</v>
      </c>
      <c r="DY12" s="20" t="str">
        <f t="shared" si="9"/>
        <v>火</v>
      </c>
      <c r="DZ12" s="20" t="str">
        <f t="shared" si="9"/>
        <v>水</v>
      </c>
      <c r="EA12" s="20" t="str">
        <f t="shared" si="9"/>
        <v>木</v>
      </c>
      <c r="EB12" s="20" t="str">
        <f t="shared" si="9"/>
        <v>金</v>
      </c>
      <c r="EC12" s="20" t="str">
        <f t="shared" si="9"/>
        <v>土</v>
      </c>
      <c r="ED12" s="20" t="str">
        <f t="shared" si="9"/>
        <v>日</v>
      </c>
      <c r="EE12" s="20" t="str">
        <f t="shared" si="9"/>
        <v>月</v>
      </c>
      <c r="EF12" s="20" t="str">
        <f t="shared" si="9"/>
        <v>火</v>
      </c>
      <c r="EG12" s="20" t="str">
        <f t="shared" si="9"/>
        <v>水</v>
      </c>
      <c r="EH12" s="20" t="str">
        <f t="shared" si="9"/>
        <v>木</v>
      </c>
      <c r="EI12" s="20" t="str">
        <f t="shared" si="9"/>
        <v>金</v>
      </c>
      <c r="EJ12" s="20" t="str">
        <f t="shared" si="9"/>
        <v>土</v>
      </c>
      <c r="EK12" s="20" t="str">
        <f t="shared" si="9"/>
        <v>日</v>
      </c>
      <c r="EL12" s="20" t="str">
        <f t="shared" si="9"/>
        <v>月</v>
      </c>
      <c r="EM12" s="20" t="str">
        <f t="shared" si="9"/>
        <v>火</v>
      </c>
      <c r="EN12" s="20" t="str">
        <f t="shared" si="9"/>
        <v>水</v>
      </c>
      <c r="EO12" s="20" t="str">
        <f t="shared" si="9"/>
        <v>木</v>
      </c>
      <c r="EP12" s="20" t="str">
        <f t="shared" si="9"/>
        <v>金</v>
      </c>
      <c r="EQ12" s="20" t="str">
        <f t="shared" ref="EQ12:HB12" si="10">IF(EQ11=0," ",CHOOSE(WEEKDAY(EQ11),"日","月","火","水","木","金","土"))</f>
        <v>土</v>
      </c>
      <c r="ER12" s="20" t="str">
        <f t="shared" si="10"/>
        <v>日</v>
      </c>
      <c r="ES12" s="20" t="str">
        <f t="shared" si="10"/>
        <v>月</v>
      </c>
      <c r="ET12" s="20" t="str">
        <f t="shared" si="10"/>
        <v>火</v>
      </c>
      <c r="EU12" s="20" t="str">
        <f t="shared" si="10"/>
        <v>水</v>
      </c>
      <c r="EV12" s="20" t="str">
        <f t="shared" si="10"/>
        <v>木</v>
      </c>
      <c r="EW12" s="20" t="str">
        <f t="shared" si="10"/>
        <v>金</v>
      </c>
      <c r="EX12" s="20" t="str">
        <f t="shared" si="10"/>
        <v>土</v>
      </c>
      <c r="EY12" s="20" t="str">
        <f t="shared" si="10"/>
        <v>日</v>
      </c>
      <c r="EZ12" s="20" t="str">
        <f t="shared" si="10"/>
        <v>月</v>
      </c>
      <c r="FA12" s="20" t="str">
        <f t="shared" si="10"/>
        <v>火</v>
      </c>
      <c r="FB12" s="20" t="str">
        <f t="shared" si="10"/>
        <v>水</v>
      </c>
      <c r="FC12" s="20" t="str">
        <f t="shared" si="10"/>
        <v>木</v>
      </c>
      <c r="FD12" s="20" t="str">
        <f t="shared" si="10"/>
        <v>金</v>
      </c>
      <c r="FE12" s="20" t="str">
        <f t="shared" si="10"/>
        <v>土</v>
      </c>
      <c r="FF12" s="20" t="str">
        <f t="shared" si="10"/>
        <v>日</v>
      </c>
      <c r="FG12" s="20" t="str">
        <f t="shared" si="10"/>
        <v>月</v>
      </c>
      <c r="FH12" s="20" t="str">
        <f t="shared" si="10"/>
        <v>火</v>
      </c>
      <c r="FI12" s="20" t="str">
        <f t="shared" si="10"/>
        <v>水</v>
      </c>
      <c r="FJ12" s="20" t="str">
        <f t="shared" si="10"/>
        <v>木</v>
      </c>
      <c r="FK12" s="20" t="str">
        <f t="shared" si="10"/>
        <v>金</v>
      </c>
      <c r="FL12" s="20" t="str">
        <f t="shared" si="10"/>
        <v>土</v>
      </c>
      <c r="FM12" s="20" t="str">
        <f t="shared" si="10"/>
        <v>日</v>
      </c>
      <c r="FN12" s="20" t="str">
        <f t="shared" si="10"/>
        <v>月</v>
      </c>
      <c r="FO12" s="20" t="str">
        <f t="shared" si="10"/>
        <v>火</v>
      </c>
      <c r="FP12" s="20" t="str">
        <f t="shared" si="10"/>
        <v>水</v>
      </c>
      <c r="FQ12" s="20" t="str">
        <f t="shared" si="10"/>
        <v>木</v>
      </c>
      <c r="FR12" s="20" t="str">
        <f t="shared" si="10"/>
        <v>金</v>
      </c>
      <c r="FS12" s="20" t="str">
        <f t="shared" si="10"/>
        <v>土</v>
      </c>
      <c r="FT12" s="20" t="str">
        <f t="shared" si="10"/>
        <v>日</v>
      </c>
      <c r="FU12" s="20" t="str">
        <f t="shared" si="10"/>
        <v>月</v>
      </c>
      <c r="FV12" s="20" t="str">
        <f t="shared" si="10"/>
        <v>火</v>
      </c>
      <c r="FW12" s="20" t="str">
        <f t="shared" si="10"/>
        <v>水</v>
      </c>
      <c r="FX12" s="20" t="str">
        <f t="shared" si="10"/>
        <v>木</v>
      </c>
      <c r="FY12" s="20" t="str">
        <f t="shared" si="10"/>
        <v>金</v>
      </c>
      <c r="FZ12" s="20" t="str">
        <f t="shared" si="10"/>
        <v>土</v>
      </c>
      <c r="GA12" s="20" t="str">
        <f t="shared" si="10"/>
        <v>日</v>
      </c>
      <c r="GB12" s="20" t="str">
        <f t="shared" si="10"/>
        <v>月</v>
      </c>
      <c r="GC12" s="20" t="str">
        <f t="shared" si="10"/>
        <v>火</v>
      </c>
      <c r="GD12" s="20" t="str">
        <f t="shared" si="10"/>
        <v>水</v>
      </c>
      <c r="GE12" s="20" t="str">
        <f t="shared" si="10"/>
        <v>木</v>
      </c>
      <c r="GF12" s="20" t="str">
        <f t="shared" si="10"/>
        <v>金</v>
      </c>
      <c r="GG12" s="20" t="str">
        <f t="shared" si="10"/>
        <v>土</v>
      </c>
      <c r="GH12" s="20" t="str">
        <f t="shared" si="10"/>
        <v>日</v>
      </c>
      <c r="GI12" s="20" t="str">
        <f t="shared" si="10"/>
        <v>月</v>
      </c>
      <c r="GJ12" s="20" t="str">
        <f t="shared" si="10"/>
        <v>火</v>
      </c>
      <c r="GK12" s="20" t="str">
        <f t="shared" si="10"/>
        <v>水</v>
      </c>
      <c r="GL12" s="20" t="str">
        <f t="shared" si="10"/>
        <v>木</v>
      </c>
      <c r="GM12" s="20" t="str">
        <f t="shared" si="10"/>
        <v>金</v>
      </c>
      <c r="GN12" s="20" t="str">
        <f t="shared" si="10"/>
        <v>土</v>
      </c>
      <c r="GO12" s="20" t="str">
        <f t="shared" si="10"/>
        <v>日</v>
      </c>
      <c r="GP12" s="20" t="str">
        <f t="shared" si="10"/>
        <v>月</v>
      </c>
      <c r="GQ12" s="20" t="str">
        <f t="shared" si="10"/>
        <v>火</v>
      </c>
      <c r="GR12" s="20" t="str">
        <f t="shared" si="10"/>
        <v>水</v>
      </c>
      <c r="GS12" s="20" t="str">
        <f t="shared" si="10"/>
        <v>木</v>
      </c>
      <c r="GT12" s="20" t="str">
        <f t="shared" si="10"/>
        <v>金</v>
      </c>
      <c r="GU12" s="20" t="str">
        <f t="shared" si="10"/>
        <v>土</v>
      </c>
      <c r="GV12" s="20" t="str">
        <f t="shared" si="10"/>
        <v>日</v>
      </c>
      <c r="GW12" s="20" t="str">
        <f t="shared" si="10"/>
        <v>月</v>
      </c>
      <c r="GX12" s="20" t="str">
        <f t="shared" si="10"/>
        <v>火</v>
      </c>
      <c r="GY12" s="20" t="str">
        <f t="shared" si="10"/>
        <v>水</v>
      </c>
      <c r="GZ12" s="20" t="str">
        <f t="shared" si="10"/>
        <v>木</v>
      </c>
      <c r="HA12" s="20" t="str">
        <f t="shared" si="10"/>
        <v>金</v>
      </c>
      <c r="HB12" s="20" t="str">
        <f t="shared" si="10"/>
        <v>土</v>
      </c>
      <c r="HC12" s="20" t="str">
        <f t="shared" ref="HC12:HK12" si="11">IF(HC11=0," ",CHOOSE(WEEKDAY(HC11),"日","月","火","水","木","金","土"))</f>
        <v>日</v>
      </c>
      <c r="HD12" s="20" t="str">
        <f t="shared" si="11"/>
        <v>月</v>
      </c>
      <c r="HE12" s="20" t="str">
        <f t="shared" si="11"/>
        <v>火</v>
      </c>
      <c r="HF12" s="20" t="str">
        <f t="shared" si="11"/>
        <v>水</v>
      </c>
      <c r="HG12" s="20" t="str">
        <f t="shared" si="11"/>
        <v>木</v>
      </c>
      <c r="HH12" s="20" t="str">
        <f t="shared" si="11"/>
        <v>金</v>
      </c>
      <c r="HI12" s="20" t="str">
        <f t="shared" si="11"/>
        <v>土</v>
      </c>
      <c r="HJ12" s="20" t="str">
        <f t="shared" si="11"/>
        <v>日</v>
      </c>
      <c r="HK12" s="20" t="str">
        <f t="shared" si="11"/>
        <v>月</v>
      </c>
      <c r="HL12" s="20" t="str">
        <f>IF(HL11=0," ",CHOOSE(WEEKDAY(HL11),"日","月","火","水","木","金","土"))</f>
        <v>火</v>
      </c>
      <c r="HM12" s="20" t="str">
        <f>IF(HM11=0," ",CHOOSE(WEEKDAY(HM11),"日","月","火","水","木","金","土"))</f>
        <v>水</v>
      </c>
      <c r="HN12" s="20" t="str">
        <f>IF(HN11=0," ",CHOOSE(WEEKDAY(HN11),"日","月","火","水","木","金","土"))</f>
        <v>木</v>
      </c>
      <c r="HO12" s="20" t="str">
        <f>IF(HO11=0," ",CHOOSE(WEEKDAY(HO11),"日","月","火","水","木","金","土"))</f>
        <v>金</v>
      </c>
    </row>
    <row r="13" spans="2:223" ht="18" customHeight="1" thickTop="1">
      <c r="B13" s="21">
        <f>ROW()-ROW($B$12)</f>
        <v>1</v>
      </c>
      <c r="C13" s="114" t="s">
        <v>351</v>
      </c>
      <c r="D13" s="114"/>
      <c r="E13" s="115"/>
      <c r="F13" s="115"/>
      <c r="G13" s="116"/>
      <c r="H13" s="115"/>
      <c r="I13" s="140"/>
      <c r="J13" s="117"/>
      <c r="K13" s="118"/>
      <c r="L13" s="119"/>
      <c r="M13" s="117"/>
      <c r="N13" s="118"/>
      <c r="O13" s="120"/>
      <c r="P13" s="121" t="str">
        <f t="shared" ref="P13:P44" si="12">IF(AND(ISNUMBER(M13),ISNUMBER(N13)),N13-M13+1,IF(OR(ISBLANK(J13),ISBLANK(K13)),"",K13-J13+1))</f>
        <v/>
      </c>
      <c r="Q13" s="122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</row>
    <row r="14" spans="2:223" ht="18" customHeight="1">
      <c r="B14" s="22">
        <f>ROW()-ROW($B$12)</f>
        <v>2</v>
      </c>
      <c r="C14" s="114"/>
      <c r="D14" s="83" t="s">
        <v>355</v>
      </c>
      <c r="E14" s="83" t="s">
        <v>353</v>
      </c>
      <c r="F14" s="83"/>
      <c r="G14" s="106" t="s">
        <v>349</v>
      </c>
      <c r="H14" s="83" t="s">
        <v>356</v>
      </c>
      <c r="I14" s="141" t="s">
        <v>355</v>
      </c>
      <c r="J14" s="23">
        <v>44531</v>
      </c>
      <c r="K14" s="24">
        <v>44543</v>
      </c>
      <c r="L14" s="25">
        <v>1</v>
      </c>
      <c r="M14" s="23"/>
      <c r="N14" s="24"/>
      <c r="O14" s="26" t="str">
        <f>IF(N14&lt;&gt;"","完了",IF(AND(M14&lt;&gt;"",N14=""),"作業中",IF(AND(J14="",K14=""),"","未着手")))</f>
        <v>未着手</v>
      </c>
      <c r="P14" s="27">
        <f t="shared" si="12"/>
        <v>13</v>
      </c>
      <c r="Q14" s="28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</row>
    <row r="15" spans="2:223" ht="18" customHeight="1">
      <c r="B15" s="22">
        <f t="shared" ref="B15:B108" si="13">ROW()-ROW($B$12)</f>
        <v>3</v>
      </c>
      <c r="C15" s="114"/>
      <c r="D15" s="88"/>
      <c r="E15" s="83"/>
      <c r="F15" s="83"/>
      <c r="G15" s="106"/>
      <c r="H15" s="83"/>
      <c r="I15" s="141"/>
      <c r="J15" s="23"/>
      <c r="K15" s="24"/>
      <c r="L15" s="25"/>
      <c r="M15" s="23"/>
      <c r="N15" s="24"/>
      <c r="O15" s="26" t="str">
        <f>IF(N15&lt;&gt;"","完了",IF(AND(M15&lt;&gt;"",N15=""),"作業中",IF(AND(J15="",K15=""),"","未着手")))</f>
        <v/>
      </c>
      <c r="P15" s="27" t="str">
        <f t="shared" si="12"/>
        <v/>
      </c>
      <c r="Q15" s="28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</row>
    <row r="16" spans="2:223" ht="18" customHeight="1">
      <c r="B16" s="22">
        <f t="shared" si="13"/>
        <v>4</v>
      </c>
      <c r="C16" s="114"/>
      <c r="D16" s="114"/>
      <c r="E16" s="115"/>
      <c r="F16" s="115"/>
      <c r="G16" s="116"/>
      <c r="H16" s="115"/>
      <c r="I16" s="142"/>
      <c r="J16" s="124"/>
      <c r="K16" s="125"/>
      <c r="L16" s="126"/>
      <c r="M16" s="124"/>
      <c r="N16" s="125"/>
      <c r="O16" s="127"/>
      <c r="P16" s="128" t="str">
        <f t="shared" si="12"/>
        <v/>
      </c>
      <c r="Q16" s="129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  <c r="BO16" s="114"/>
      <c r="BP16" s="114"/>
      <c r="BQ16" s="114"/>
      <c r="BR16" s="114"/>
      <c r="BS16" s="114"/>
      <c r="BT16" s="114"/>
      <c r="BU16" s="114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</row>
    <row r="17" spans="2:223" ht="18" customHeight="1">
      <c r="B17" s="22">
        <f t="shared" si="13"/>
        <v>5</v>
      </c>
      <c r="C17" s="114"/>
      <c r="D17" s="131"/>
      <c r="E17" s="132"/>
      <c r="F17" s="132"/>
      <c r="G17" s="133"/>
      <c r="H17" s="132"/>
      <c r="I17" s="143"/>
      <c r="J17" s="134"/>
      <c r="K17" s="135"/>
      <c r="L17" s="136"/>
      <c r="M17" s="134"/>
      <c r="N17" s="135"/>
      <c r="O17" s="137"/>
      <c r="P17" s="138" t="str">
        <f t="shared" si="12"/>
        <v/>
      </c>
      <c r="Q17" s="139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1"/>
      <c r="BL17" s="131"/>
      <c r="BM17" s="131"/>
      <c r="BN17" s="131"/>
      <c r="BO17" s="131"/>
      <c r="BP17" s="131"/>
      <c r="BQ17" s="131"/>
      <c r="BR17" s="131"/>
      <c r="BS17" s="131"/>
      <c r="BT17" s="131"/>
      <c r="BU17" s="131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</row>
    <row r="18" spans="2:223" ht="18" customHeight="1">
      <c r="B18" s="22">
        <f t="shared" si="13"/>
        <v>6</v>
      </c>
      <c r="C18" s="114"/>
      <c r="D18" s="131"/>
      <c r="E18" s="83"/>
      <c r="F18" s="83"/>
      <c r="G18" s="106"/>
      <c r="H18" s="83"/>
      <c r="I18" s="141"/>
      <c r="J18" s="23"/>
      <c r="K18" s="24"/>
      <c r="L18" s="25"/>
      <c r="M18" s="23"/>
      <c r="N18" s="24"/>
      <c r="O18" s="26" t="str">
        <f t="shared" ref="O18:O23" si="14">IF(N18&lt;&gt;"","完了",IF(AND(M18&lt;&gt;"",N18=""),"作業中",IF(AND(J18="",K18=""),"","未着手")))</f>
        <v/>
      </c>
      <c r="P18" s="27" t="str">
        <f t="shared" si="12"/>
        <v/>
      </c>
      <c r="Q18" s="28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</row>
    <row r="19" spans="2:223" ht="18" customHeight="1">
      <c r="B19" s="22">
        <f t="shared" si="13"/>
        <v>7</v>
      </c>
      <c r="C19" s="114"/>
      <c r="D19" s="131"/>
      <c r="E19" s="83"/>
      <c r="F19" s="83"/>
      <c r="G19" s="106"/>
      <c r="H19" s="83"/>
      <c r="I19" s="141"/>
      <c r="J19" s="23"/>
      <c r="K19" s="24"/>
      <c r="L19" s="25"/>
      <c r="M19" s="23"/>
      <c r="N19" s="24"/>
      <c r="O19" s="26" t="str">
        <f t="shared" si="14"/>
        <v/>
      </c>
      <c r="P19" s="27" t="str">
        <f t="shared" si="12"/>
        <v/>
      </c>
      <c r="Q19" s="28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</row>
    <row r="20" spans="2:223" ht="18" customHeight="1">
      <c r="B20" s="22">
        <f t="shared" si="13"/>
        <v>8</v>
      </c>
      <c r="C20" s="114"/>
      <c r="D20" s="131"/>
      <c r="E20" s="83"/>
      <c r="F20" s="83"/>
      <c r="G20" s="106"/>
      <c r="H20" s="83"/>
      <c r="I20" s="141"/>
      <c r="J20" s="23"/>
      <c r="K20" s="24"/>
      <c r="L20" s="25"/>
      <c r="M20" s="23"/>
      <c r="N20" s="24"/>
      <c r="O20" s="26" t="str">
        <f t="shared" si="14"/>
        <v/>
      </c>
      <c r="P20" s="27" t="str">
        <f t="shared" si="12"/>
        <v/>
      </c>
      <c r="Q20" s="28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</row>
    <row r="21" spans="2:223" ht="18" customHeight="1">
      <c r="B21" s="22">
        <f t="shared" si="13"/>
        <v>9</v>
      </c>
      <c r="C21" s="114"/>
      <c r="D21" s="131"/>
      <c r="E21" s="112"/>
      <c r="F21" s="83"/>
      <c r="G21" s="106"/>
      <c r="H21" s="83"/>
      <c r="I21" s="141"/>
      <c r="J21" s="23"/>
      <c r="K21" s="24"/>
      <c r="L21" s="25"/>
      <c r="M21" s="23"/>
      <c r="N21" s="24"/>
      <c r="O21" s="26" t="str">
        <f t="shared" si="14"/>
        <v/>
      </c>
      <c r="P21" s="27" t="str">
        <f t="shared" si="12"/>
        <v/>
      </c>
      <c r="Q21" s="28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</row>
    <row r="22" spans="2:223" ht="18" customHeight="1">
      <c r="B22" s="22">
        <f t="shared" si="13"/>
        <v>10</v>
      </c>
      <c r="C22" s="114"/>
      <c r="D22" s="131"/>
      <c r="E22" s="83"/>
      <c r="F22" s="83"/>
      <c r="G22" s="106"/>
      <c r="H22" s="83"/>
      <c r="I22" s="141"/>
      <c r="J22" s="23"/>
      <c r="K22" s="24"/>
      <c r="L22" s="25"/>
      <c r="M22" s="23"/>
      <c r="N22" s="24"/>
      <c r="O22" s="26" t="str">
        <f t="shared" si="14"/>
        <v/>
      </c>
      <c r="P22" s="27" t="str">
        <f t="shared" si="12"/>
        <v/>
      </c>
      <c r="Q22" s="28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</row>
    <row r="23" spans="2:223" ht="18" customHeight="1">
      <c r="B23" s="22">
        <f t="shared" si="13"/>
        <v>11</v>
      </c>
      <c r="C23" s="114"/>
      <c r="D23" s="131"/>
      <c r="E23" s="83"/>
      <c r="F23" s="83"/>
      <c r="G23" s="106"/>
      <c r="H23" s="83"/>
      <c r="I23" s="141"/>
      <c r="J23" s="23"/>
      <c r="K23" s="24"/>
      <c r="L23" s="25"/>
      <c r="M23" s="23"/>
      <c r="N23" s="24"/>
      <c r="O23" s="26" t="str">
        <f t="shared" si="14"/>
        <v/>
      </c>
      <c r="P23" s="27" t="str">
        <f t="shared" si="12"/>
        <v/>
      </c>
      <c r="Q23" s="28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</row>
    <row r="24" spans="2:223" ht="18" customHeight="1">
      <c r="B24" s="22">
        <f t="shared" si="13"/>
        <v>12</v>
      </c>
      <c r="C24" s="114"/>
      <c r="D24" s="131"/>
      <c r="E24" s="132"/>
      <c r="F24" s="132"/>
      <c r="G24" s="133"/>
      <c r="H24" s="132"/>
      <c r="I24" s="143"/>
      <c r="J24" s="134"/>
      <c r="K24" s="135"/>
      <c r="L24" s="136"/>
      <c r="M24" s="134"/>
      <c r="N24" s="135"/>
      <c r="O24" s="137"/>
      <c r="P24" s="138" t="str">
        <f t="shared" si="12"/>
        <v/>
      </c>
      <c r="Q24" s="139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</row>
    <row r="25" spans="2:223" ht="18" customHeight="1">
      <c r="B25" s="22">
        <f t="shared" si="13"/>
        <v>13</v>
      </c>
      <c r="C25" s="114"/>
      <c r="D25" s="131"/>
      <c r="E25" s="112"/>
      <c r="F25" s="83"/>
      <c r="G25" s="106"/>
      <c r="H25" s="83"/>
      <c r="I25" s="141"/>
      <c r="J25" s="23"/>
      <c r="K25" s="24"/>
      <c r="L25" s="25"/>
      <c r="M25" s="23"/>
      <c r="N25" s="24"/>
      <c r="O25" s="26" t="str">
        <f>IF(N25&lt;&gt;"","完了",IF(AND(M25&lt;&gt;"",N25=""),"作業中",IF(AND(J25="",K25=""),"","未着手")))</f>
        <v/>
      </c>
      <c r="P25" s="27" t="str">
        <f t="shared" si="12"/>
        <v/>
      </c>
      <c r="Q25" s="28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</row>
    <row r="26" spans="2:223" ht="18" customHeight="1">
      <c r="B26" s="22">
        <f t="shared" si="13"/>
        <v>14</v>
      </c>
      <c r="C26" s="114"/>
      <c r="D26" s="131"/>
      <c r="E26" s="83"/>
      <c r="F26" s="83"/>
      <c r="G26" s="106"/>
      <c r="H26" s="83"/>
      <c r="I26" s="141"/>
      <c r="J26" s="23"/>
      <c r="K26" s="24"/>
      <c r="L26" s="25"/>
      <c r="M26" s="23"/>
      <c r="N26" s="24"/>
      <c r="O26" s="26" t="str">
        <f>IF(N26&lt;&gt;"","完了",IF(AND(M26&lt;&gt;"",N26=""),"作業中",IF(AND(J26="",K26=""),"","未着手")))</f>
        <v/>
      </c>
      <c r="P26" s="27" t="str">
        <f t="shared" si="12"/>
        <v/>
      </c>
      <c r="Q26" s="28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</row>
    <row r="27" spans="2:223" ht="18" customHeight="1">
      <c r="B27" s="22">
        <f t="shared" si="13"/>
        <v>15</v>
      </c>
      <c r="C27" s="114"/>
      <c r="D27" s="131"/>
      <c r="E27" s="83"/>
      <c r="F27" s="83"/>
      <c r="G27" s="106"/>
      <c r="H27" s="83"/>
      <c r="I27" s="141"/>
      <c r="J27" s="23"/>
      <c r="K27" s="24"/>
      <c r="L27" s="25"/>
      <c r="M27" s="23"/>
      <c r="N27" s="24"/>
      <c r="O27" s="26" t="str">
        <f>IF(N27&lt;&gt;"","完了",IF(AND(M27&lt;&gt;"",N27=""),"作業中",IF(AND(J27="",K27=""),"","未着手")))</f>
        <v/>
      </c>
      <c r="P27" s="27" t="str">
        <f t="shared" si="12"/>
        <v/>
      </c>
      <c r="Q27" s="28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</row>
    <row r="28" spans="2:223" ht="18" customHeight="1">
      <c r="B28" s="22">
        <f t="shared" si="13"/>
        <v>16</v>
      </c>
      <c r="C28" s="114"/>
      <c r="D28" s="131"/>
      <c r="E28" s="112"/>
      <c r="F28" s="83"/>
      <c r="G28" s="106"/>
      <c r="H28" s="83"/>
      <c r="I28" s="141"/>
      <c r="J28" s="23"/>
      <c r="K28" s="24"/>
      <c r="L28" s="25"/>
      <c r="M28" s="23"/>
      <c r="N28" s="24"/>
      <c r="O28" s="26" t="str">
        <f>IF(N28&lt;&gt;"","完了",IF(AND(M28&lt;&gt;"",N28=""),"作業中",IF(AND(J28="",K28=""),"","未着手")))</f>
        <v/>
      </c>
      <c r="P28" s="27" t="str">
        <f t="shared" si="12"/>
        <v/>
      </c>
      <c r="Q28" s="28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</row>
    <row r="29" spans="2:223" ht="18" customHeight="1">
      <c r="B29" s="22">
        <f t="shared" si="13"/>
        <v>17</v>
      </c>
      <c r="C29" s="114"/>
      <c r="D29" s="131"/>
      <c r="E29" s="112"/>
      <c r="F29" s="83"/>
      <c r="G29" s="106"/>
      <c r="H29" s="83"/>
      <c r="I29" s="141"/>
      <c r="J29" s="23"/>
      <c r="K29" s="24"/>
      <c r="L29" s="25"/>
      <c r="M29" s="23"/>
      <c r="N29" s="24"/>
      <c r="O29" s="26"/>
      <c r="P29" s="27" t="str">
        <f t="shared" si="12"/>
        <v/>
      </c>
      <c r="Q29" s="28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</row>
    <row r="30" spans="2:223" ht="18" customHeight="1">
      <c r="B30" s="22">
        <f t="shared" si="13"/>
        <v>18</v>
      </c>
      <c r="C30" s="114"/>
      <c r="D30" s="131"/>
      <c r="E30" s="145"/>
      <c r="F30" s="83"/>
      <c r="G30" s="106"/>
      <c r="H30" s="83"/>
      <c r="I30" s="141"/>
      <c r="J30" s="23"/>
      <c r="K30" s="24"/>
      <c r="L30" s="25"/>
      <c r="M30" s="23"/>
      <c r="N30" s="24"/>
      <c r="O30" s="26" t="str">
        <f>IF(N30&lt;&gt;"","完了",IF(AND(M30&lt;&gt;"",N30=""),"作業中",IF(AND(J30="",K30=""),"","未着手")))</f>
        <v/>
      </c>
      <c r="P30" s="27" t="str">
        <f t="shared" si="12"/>
        <v/>
      </c>
      <c r="Q30" s="28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</row>
    <row r="31" spans="2:223" ht="18" customHeight="1">
      <c r="B31" s="22">
        <f t="shared" si="13"/>
        <v>19</v>
      </c>
      <c r="C31" s="114"/>
      <c r="D31" s="131"/>
      <c r="E31" s="145"/>
      <c r="F31" s="83"/>
      <c r="G31" s="106"/>
      <c r="H31" s="83"/>
      <c r="I31" s="141"/>
      <c r="J31" s="23"/>
      <c r="K31" s="146"/>
      <c r="L31" s="25"/>
      <c r="M31" s="23"/>
      <c r="N31" s="24"/>
      <c r="O31" s="26" t="str">
        <f>IF(N31&lt;&gt;"","完了",IF(AND(M31&lt;&gt;"",N31=""),"作業中",IF(AND(J31="",K31=""),"","未着手")))</f>
        <v/>
      </c>
      <c r="P31" s="27" t="str">
        <f t="shared" si="12"/>
        <v/>
      </c>
      <c r="Q31" s="28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</row>
    <row r="32" spans="2:223" ht="18" customHeight="1">
      <c r="B32" s="22">
        <f t="shared" si="13"/>
        <v>20</v>
      </c>
      <c r="C32" s="114"/>
      <c r="D32" s="131"/>
      <c r="E32" s="83"/>
      <c r="F32" s="83"/>
      <c r="G32" s="106"/>
      <c r="H32" s="83"/>
      <c r="I32" s="141"/>
      <c r="J32" s="23"/>
      <c r="K32" s="24"/>
      <c r="L32" s="25"/>
      <c r="M32" s="23"/>
      <c r="N32" s="24"/>
      <c r="O32" s="26" t="str">
        <f>IF(N32&lt;&gt;"","完了",IF(AND(M32&lt;&gt;"",N32=""),"作業中",IF(AND(J32="",K32=""),"","未着手")))</f>
        <v/>
      </c>
      <c r="P32" s="27" t="str">
        <f t="shared" si="12"/>
        <v/>
      </c>
      <c r="Q32" s="28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</row>
    <row r="33" spans="2:223" ht="18" customHeight="1">
      <c r="B33" s="22">
        <f t="shared" si="13"/>
        <v>21</v>
      </c>
      <c r="C33" s="114"/>
      <c r="D33" s="114"/>
      <c r="E33" s="115"/>
      <c r="F33" s="115"/>
      <c r="G33" s="116"/>
      <c r="H33" s="115"/>
      <c r="I33" s="142"/>
      <c r="J33" s="124"/>
      <c r="K33" s="125"/>
      <c r="L33" s="126"/>
      <c r="M33" s="124"/>
      <c r="N33" s="125"/>
      <c r="O33" s="127"/>
      <c r="P33" s="128" t="str">
        <f t="shared" si="12"/>
        <v/>
      </c>
      <c r="Q33" s="129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BO33" s="114"/>
      <c r="BP33" s="114"/>
      <c r="BQ33" s="114"/>
      <c r="BR33" s="114"/>
      <c r="BS33" s="114"/>
      <c r="BT33" s="114"/>
      <c r="BU33" s="114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</row>
    <row r="34" spans="2:223" ht="18" customHeight="1">
      <c r="B34" s="22">
        <f t="shared" si="13"/>
        <v>22</v>
      </c>
      <c r="C34" s="114"/>
      <c r="D34" s="131"/>
      <c r="E34" s="132"/>
      <c r="F34" s="132"/>
      <c r="G34" s="133"/>
      <c r="H34" s="132"/>
      <c r="I34" s="143"/>
      <c r="J34" s="134"/>
      <c r="K34" s="135"/>
      <c r="L34" s="136"/>
      <c r="M34" s="134"/>
      <c r="N34" s="135"/>
      <c r="O34" s="137"/>
      <c r="P34" s="138" t="str">
        <f t="shared" si="12"/>
        <v/>
      </c>
      <c r="Q34" s="139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</row>
    <row r="35" spans="2:223" ht="18" customHeight="1">
      <c r="B35" s="22">
        <f t="shared" si="13"/>
        <v>23</v>
      </c>
      <c r="C35" s="114"/>
      <c r="D35" s="131"/>
      <c r="E35" s="112"/>
      <c r="F35" s="83"/>
      <c r="G35" s="106"/>
      <c r="H35" s="83"/>
      <c r="I35" s="141"/>
      <c r="J35" s="23"/>
      <c r="K35" s="24"/>
      <c r="L35" s="25"/>
      <c r="M35" s="23"/>
      <c r="N35" s="24"/>
      <c r="O35" s="26" t="str">
        <f t="shared" ref="O35:O40" si="15">IF(N35&lt;&gt;"","完了",IF(AND(M35&lt;&gt;"",N35=""),"作業中",IF(AND(J35="",K35=""),"","未着手")))</f>
        <v/>
      </c>
      <c r="P35" s="27" t="str">
        <f t="shared" si="12"/>
        <v/>
      </c>
      <c r="Q35" s="28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</row>
    <row r="36" spans="2:223" ht="18" customHeight="1">
      <c r="B36" s="22">
        <f t="shared" si="13"/>
        <v>24</v>
      </c>
      <c r="C36" s="114"/>
      <c r="D36" s="131"/>
      <c r="E36" s="83"/>
      <c r="F36" s="83"/>
      <c r="G36" s="106"/>
      <c r="H36" s="83"/>
      <c r="I36" s="141"/>
      <c r="J36" s="23"/>
      <c r="K36" s="24"/>
      <c r="L36" s="25"/>
      <c r="M36" s="23"/>
      <c r="N36" s="24"/>
      <c r="O36" s="26" t="str">
        <f t="shared" si="15"/>
        <v/>
      </c>
      <c r="P36" s="27" t="str">
        <f t="shared" si="12"/>
        <v/>
      </c>
      <c r="Q36" s="28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</row>
    <row r="37" spans="2:223" ht="18" customHeight="1">
      <c r="B37" s="22">
        <f t="shared" si="13"/>
        <v>25</v>
      </c>
      <c r="C37" s="114"/>
      <c r="D37" s="131"/>
      <c r="E37" s="83"/>
      <c r="F37" s="83"/>
      <c r="G37" s="106"/>
      <c r="H37" s="83"/>
      <c r="I37" s="141"/>
      <c r="J37" s="23"/>
      <c r="K37" s="24"/>
      <c r="L37" s="25"/>
      <c r="M37" s="23"/>
      <c r="N37" s="24"/>
      <c r="O37" s="26" t="str">
        <f t="shared" si="15"/>
        <v/>
      </c>
      <c r="P37" s="27" t="str">
        <f t="shared" si="12"/>
        <v/>
      </c>
      <c r="Q37" s="28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</row>
    <row r="38" spans="2:223" ht="18" customHeight="1">
      <c r="B38" s="22">
        <f t="shared" si="13"/>
        <v>26</v>
      </c>
      <c r="C38" s="114"/>
      <c r="D38" s="131"/>
      <c r="E38" s="112"/>
      <c r="F38" s="83"/>
      <c r="G38" s="106"/>
      <c r="H38" s="83"/>
      <c r="I38" s="141"/>
      <c r="J38" s="23"/>
      <c r="K38" s="24"/>
      <c r="L38" s="25"/>
      <c r="M38" s="23"/>
      <c r="N38" s="24"/>
      <c r="O38" s="26" t="str">
        <f t="shared" si="15"/>
        <v/>
      </c>
      <c r="P38" s="27" t="str">
        <f t="shared" si="12"/>
        <v/>
      </c>
      <c r="Q38" s="28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</row>
    <row r="39" spans="2:223" ht="18" customHeight="1">
      <c r="B39" s="22">
        <f t="shared" si="13"/>
        <v>27</v>
      </c>
      <c r="C39" s="114"/>
      <c r="D39" s="131"/>
      <c r="E39" s="83"/>
      <c r="F39" s="83"/>
      <c r="G39" s="106"/>
      <c r="H39" s="83"/>
      <c r="I39" s="141"/>
      <c r="J39" s="23"/>
      <c r="K39" s="24"/>
      <c r="L39" s="25"/>
      <c r="M39" s="23"/>
      <c r="N39" s="24"/>
      <c r="O39" s="26" t="str">
        <f t="shared" si="15"/>
        <v/>
      </c>
      <c r="P39" s="27" t="str">
        <f t="shared" si="12"/>
        <v/>
      </c>
      <c r="Q39" s="28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</row>
    <row r="40" spans="2:223" ht="18" customHeight="1">
      <c r="B40" s="22">
        <f t="shared" si="13"/>
        <v>28</v>
      </c>
      <c r="C40" s="114"/>
      <c r="D40" s="131"/>
      <c r="E40" s="83"/>
      <c r="F40" s="83"/>
      <c r="G40" s="106"/>
      <c r="H40" s="83"/>
      <c r="I40" s="141"/>
      <c r="J40" s="23"/>
      <c r="K40" s="24"/>
      <c r="L40" s="25"/>
      <c r="M40" s="23"/>
      <c r="N40" s="24"/>
      <c r="O40" s="26" t="str">
        <f t="shared" si="15"/>
        <v/>
      </c>
      <c r="P40" s="27" t="str">
        <f t="shared" si="12"/>
        <v/>
      </c>
      <c r="Q40" s="28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</row>
    <row r="41" spans="2:223" ht="18" customHeight="1">
      <c r="B41" s="22">
        <f t="shared" si="13"/>
        <v>29</v>
      </c>
      <c r="C41" s="114"/>
      <c r="D41" s="131"/>
      <c r="E41" s="132"/>
      <c r="F41" s="132"/>
      <c r="G41" s="133"/>
      <c r="H41" s="132"/>
      <c r="I41" s="143"/>
      <c r="J41" s="134"/>
      <c r="K41" s="135"/>
      <c r="L41" s="136"/>
      <c r="M41" s="134"/>
      <c r="N41" s="135"/>
      <c r="O41" s="137"/>
      <c r="P41" s="138" t="str">
        <f t="shared" si="12"/>
        <v/>
      </c>
      <c r="Q41" s="139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  <c r="BP41" s="131"/>
      <c r="BQ41" s="131"/>
      <c r="BR41" s="131"/>
      <c r="BS41" s="131"/>
      <c r="BT41" s="131"/>
      <c r="BU41" s="131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</row>
    <row r="42" spans="2:223" ht="18" customHeight="1">
      <c r="B42" s="22">
        <f t="shared" si="13"/>
        <v>30</v>
      </c>
      <c r="C42" s="114"/>
      <c r="D42" s="131"/>
      <c r="E42" s="83"/>
      <c r="F42" s="83"/>
      <c r="G42" s="106"/>
      <c r="H42" s="83"/>
      <c r="I42" s="141"/>
      <c r="J42" s="23"/>
      <c r="K42" s="24"/>
      <c r="L42" s="25"/>
      <c r="M42" s="23"/>
      <c r="N42" s="24"/>
      <c r="O42" s="26" t="str">
        <f t="shared" ref="O42:O53" si="16">IF(N42&lt;&gt;"","完了",IF(AND(M42&lt;&gt;"",N42=""),"作業中",IF(AND(J42="",K42=""),"","未着手")))</f>
        <v/>
      </c>
      <c r="P42" s="27" t="str">
        <f t="shared" si="12"/>
        <v/>
      </c>
      <c r="Q42" s="28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</row>
    <row r="43" spans="2:223" ht="18" customHeight="1">
      <c r="B43" s="22">
        <f t="shared" si="13"/>
        <v>31</v>
      </c>
      <c r="C43" s="114"/>
      <c r="D43" s="131"/>
      <c r="E43" s="83"/>
      <c r="F43" s="83"/>
      <c r="G43" s="106"/>
      <c r="H43" s="83"/>
      <c r="I43" s="141"/>
      <c r="J43" s="23"/>
      <c r="K43" s="24"/>
      <c r="L43" s="25"/>
      <c r="M43" s="23"/>
      <c r="N43" s="24"/>
      <c r="O43" s="26" t="str">
        <f t="shared" si="16"/>
        <v/>
      </c>
      <c r="P43" s="27" t="str">
        <f t="shared" si="12"/>
        <v/>
      </c>
      <c r="Q43" s="28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</row>
    <row r="44" spans="2:223" ht="18" customHeight="1">
      <c r="B44" s="22">
        <f t="shared" si="13"/>
        <v>32</v>
      </c>
      <c r="C44" s="114"/>
      <c r="D44" s="131"/>
      <c r="E44" s="83"/>
      <c r="F44" s="83"/>
      <c r="G44" s="106"/>
      <c r="H44" s="83"/>
      <c r="I44" s="141"/>
      <c r="J44" s="23"/>
      <c r="K44" s="24"/>
      <c r="L44" s="25"/>
      <c r="M44" s="23"/>
      <c r="N44" s="24"/>
      <c r="O44" s="26" t="str">
        <f t="shared" si="16"/>
        <v/>
      </c>
      <c r="P44" s="27" t="str">
        <f t="shared" si="12"/>
        <v/>
      </c>
      <c r="Q44" s="28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</row>
    <row r="45" spans="2:223" ht="18" customHeight="1">
      <c r="B45" s="22">
        <f t="shared" si="13"/>
        <v>33</v>
      </c>
      <c r="C45" s="114"/>
      <c r="D45" s="131"/>
      <c r="E45" s="83"/>
      <c r="F45" s="83"/>
      <c r="G45" s="106"/>
      <c r="H45" s="83"/>
      <c r="I45" s="141"/>
      <c r="J45" s="23"/>
      <c r="K45" s="24"/>
      <c r="L45" s="25"/>
      <c r="M45" s="23"/>
      <c r="N45" s="24"/>
      <c r="O45" s="26" t="str">
        <f t="shared" si="16"/>
        <v/>
      </c>
      <c r="P45" s="27" t="str">
        <f t="shared" ref="P45:P76" si="17">IF(AND(ISNUMBER(M45),ISNUMBER(N45)),N45-M45+1,IF(OR(ISBLANK(J45),ISBLANK(K45)),"",K45-J45+1))</f>
        <v/>
      </c>
      <c r="Q45" s="28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</row>
    <row r="46" spans="2:223" ht="18" customHeight="1">
      <c r="B46" s="22">
        <f t="shared" si="13"/>
        <v>34</v>
      </c>
      <c r="C46" s="114"/>
      <c r="D46" s="131"/>
      <c r="E46" s="83"/>
      <c r="F46" s="83"/>
      <c r="G46" s="106"/>
      <c r="H46" s="83"/>
      <c r="I46" s="141"/>
      <c r="J46" s="23"/>
      <c r="K46" s="24"/>
      <c r="L46" s="25"/>
      <c r="M46" s="23"/>
      <c r="N46" s="24"/>
      <c r="O46" s="26" t="str">
        <f>IF(N46&lt;&gt;"","完了",IF(AND(M46&lt;&gt;"",N46=""),"作業中",IF(AND(J46="",K46=""),"","未着手")))</f>
        <v/>
      </c>
      <c r="P46" s="27" t="str">
        <f t="shared" si="17"/>
        <v/>
      </c>
      <c r="Q46" s="28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</row>
    <row r="47" spans="2:223" ht="18" customHeight="1">
      <c r="B47" s="22">
        <f t="shared" si="13"/>
        <v>35</v>
      </c>
      <c r="C47" s="114"/>
      <c r="D47" s="131"/>
      <c r="E47" s="83"/>
      <c r="F47" s="83"/>
      <c r="G47" s="106"/>
      <c r="H47" s="83"/>
      <c r="I47" s="141"/>
      <c r="J47" s="23"/>
      <c r="K47" s="24"/>
      <c r="L47" s="25"/>
      <c r="M47" s="23"/>
      <c r="N47" s="24"/>
      <c r="O47" s="26" t="str">
        <f>IF(N47&lt;&gt;"","完了",IF(AND(M47&lt;&gt;"",N47=""),"作業中",IF(AND(J47="",K47=""),"","未着手")))</f>
        <v/>
      </c>
      <c r="P47" s="27" t="str">
        <f t="shared" si="17"/>
        <v/>
      </c>
      <c r="Q47" s="28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</row>
    <row r="48" spans="2:223" ht="18" customHeight="1">
      <c r="B48" s="22">
        <f t="shared" si="13"/>
        <v>36</v>
      </c>
      <c r="C48" s="114"/>
      <c r="D48" s="131"/>
      <c r="E48" s="83"/>
      <c r="F48" s="83"/>
      <c r="G48" s="106"/>
      <c r="H48" s="83"/>
      <c r="I48" s="141"/>
      <c r="J48" s="23"/>
      <c r="K48" s="24"/>
      <c r="L48" s="25"/>
      <c r="M48" s="23"/>
      <c r="N48" s="24"/>
      <c r="O48" s="26" t="str">
        <f>IF(N48&lt;&gt;"","完了",IF(AND(M48&lt;&gt;"",N48=""),"作業中",IF(AND(J48="",K48=""),"","未着手")))</f>
        <v/>
      </c>
      <c r="P48" s="27" t="str">
        <f t="shared" si="17"/>
        <v/>
      </c>
      <c r="Q48" s="28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</row>
    <row r="49" spans="2:223" ht="18" customHeight="1">
      <c r="B49" s="22">
        <f t="shared" si="13"/>
        <v>37</v>
      </c>
      <c r="C49" s="114"/>
      <c r="D49" s="131"/>
      <c r="E49" s="83"/>
      <c r="F49" s="83"/>
      <c r="G49" s="106"/>
      <c r="H49" s="83"/>
      <c r="I49" s="141"/>
      <c r="J49" s="23"/>
      <c r="K49" s="24"/>
      <c r="L49" s="25"/>
      <c r="M49" s="23"/>
      <c r="N49" s="24"/>
      <c r="O49" s="26" t="str">
        <f>IF(N49&lt;&gt;"","完了",IF(AND(M49&lt;&gt;"",N49=""),"作業中",IF(AND(J49="",K49=""),"","未着手")))</f>
        <v/>
      </c>
      <c r="P49" s="27" t="str">
        <f t="shared" si="17"/>
        <v/>
      </c>
      <c r="Q49" s="28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</row>
    <row r="50" spans="2:223" ht="18" customHeight="1">
      <c r="B50" s="22">
        <f t="shared" si="13"/>
        <v>38</v>
      </c>
      <c r="C50" s="114"/>
      <c r="D50" s="131"/>
      <c r="E50" s="83"/>
      <c r="F50" s="83"/>
      <c r="G50" s="106"/>
      <c r="H50" s="83"/>
      <c r="I50" s="141"/>
      <c r="J50" s="23"/>
      <c r="K50" s="24"/>
      <c r="L50" s="25"/>
      <c r="M50" s="23"/>
      <c r="N50" s="24"/>
      <c r="O50" s="26"/>
      <c r="P50" s="27" t="str">
        <f t="shared" si="17"/>
        <v/>
      </c>
      <c r="Q50" s="28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</row>
    <row r="51" spans="2:223" ht="18" customHeight="1">
      <c r="B51" s="22">
        <f t="shared" si="13"/>
        <v>39</v>
      </c>
      <c r="C51" s="114"/>
      <c r="D51" s="131"/>
      <c r="E51" s="112"/>
      <c r="F51" s="83"/>
      <c r="G51" s="106"/>
      <c r="H51" s="83"/>
      <c r="I51" s="141"/>
      <c r="J51" s="23"/>
      <c r="K51" s="24"/>
      <c r="L51" s="25"/>
      <c r="M51" s="23"/>
      <c r="N51" s="24"/>
      <c r="O51" s="26" t="str">
        <f t="shared" si="16"/>
        <v/>
      </c>
      <c r="P51" s="27" t="str">
        <f t="shared" si="17"/>
        <v/>
      </c>
      <c r="Q51" s="28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</row>
    <row r="52" spans="2:223" ht="18" customHeight="1">
      <c r="B52" s="22">
        <f t="shared" si="13"/>
        <v>40</v>
      </c>
      <c r="C52" s="114"/>
      <c r="D52" s="131"/>
      <c r="E52" s="83"/>
      <c r="F52" s="83"/>
      <c r="G52" s="106"/>
      <c r="H52" s="83"/>
      <c r="I52" s="141"/>
      <c r="J52" s="23"/>
      <c r="K52" s="24"/>
      <c r="L52" s="25"/>
      <c r="M52" s="23"/>
      <c r="N52" s="24"/>
      <c r="O52" s="26" t="str">
        <f t="shared" si="16"/>
        <v/>
      </c>
      <c r="P52" s="27" t="str">
        <f t="shared" si="17"/>
        <v/>
      </c>
      <c r="Q52" s="28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</row>
    <row r="53" spans="2:223" ht="18" customHeight="1">
      <c r="B53" s="22">
        <f t="shared" si="13"/>
        <v>41</v>
      </c>
      <c r="C53" s="114"/>
      <c r="D53" s="131"/>
      <c r="E53" s="83"/>
      <c r="F53" s="83"/>
      <c r="G53" s="106"/>
      <c r="H53" s="83"/>
      <c r="I53" s="141"/>
      <c r="J53" s="23"/>
      <c r="K53" s="24"/>
      <c r="L53" s="25"/>
      <c r="M53" s="23"/>
      <c r="N53" s="24"/>
      <c r="O53" s="26" t="str">
        <f t="shared" si="16"/>
        <v/>
      </c>
      <c r="P53" s="27" t="str">
        <f t="shared" si="17"/>
        <v/>
      </c>
      <c r="Q53" s="28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</row>
    <row r="54" spans="2:223" ht="18" customHeight="1">
      <c r="B54" s="22">
        <f t="shared" si="13"/>
        <v>42</v>
      </c>
      <c r="C54" s="114"/>
      <c r="D54" s="131"/>
      <c r="E54" s="132"/>
      <c r="F54" s="132"/>
      <c r="G54" s="133"/>
      <c r="H54" s="132"/>
      <c r="I54" s="143"/>
      <c r="J54" s="134"/>
      <c r="K54" s="135"/>
      <c r="L54" s="136"/>
      <c r="M54" s="134"/>
      <c r="N54" s="135"/>
      <c r="O54" s="137"/>
      <c r="P54" s="138" t="str">
        <f t="shared" si="17"/>
        <v/>
      </c>
      <c r="Q54" s="139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  <c r="BH54" s="131"/>
      <c r="BI54" s="131"/>
      <c r="BJ54" s="131"/>
      <c r="BK54" s="131"/>
      <c r="BL54" s="131"/>
      <c r="BM54" s="131"/>
      <c r="BN54" s="131"/>
      <c r="BO54" s="131"/>
      <c r="BP54" s="131"/>
      <c r="BQ54" s="131"/>
      <c r="BR54" s="131"/>
      <c r="BS54" s="131"/>
      <c r="BT54" s="131"/>
      <c r="BU54" s="131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</row>
    <row r="55" spans="2:223" ht="18" customHeight="1">
      <c r="B55" s="22">
        <f t="shared" si="13"/>
        <v>43</v>
      </c>
      <c r="C55" s="114"/>
      <c r="D55" s="131"/>
      <c r="E55" s="112"/>
      <c r="F55" s="83"/>
      <c r="G55" s="106"/>
      <c r="H55" s="83"/>
      <c r="I55" s="141"/>
      <c r="J55" s="23"/>
      <c r="K55" s="24"/>
      <c r="L55" s="25"/>
      <c r="M55" s="23"/>
      <c r="N55" s="24"/>
      <c r="O55" s="26" t="str">
        <f t="shared" ref="O55:O64" si="18">IF(N55&lt;&gt;"","完了",IF(AND(M55&lt;&gt;"",N55=""),"作業中",IF(AND(J55="",K55=""),"","未着手")))</f>
        <v/>
      </c>
      <c r="P55" s="27" t="str">
        <f t="shared" si="17"/>
        <v/>
      </c>
      <c r="Q55" s="28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</row>
    <row r="56" spans="2:223" ht="18" customHeight="1">
      <c r="B56" s="22">
        <f t="shared" si="13"/>
        <v>44</v>
      </c>
      <c r="C56" s="114"/>
      <c r="D56" s="131"/>
      <c r="E56" s="83"/>
      <c r="F56" s="83"/>
      <c r="G56" s="106"/>
      <c r="H56" s="83"/>
      <c r="I56" s="141"/>
      <c r="J56" s="23"/>
      <c r="K56" s="24"/>
      <c r="L56" s="25"/>
      <c r="M56" s="23"/>
      <c r="N56" s="24"/>
      <c r="O56" s="26" t="str">
        <f t="shared" si="18"/>
        <v/>
      </c>
      <c r="P56" s="27" t="str">
        <f t="shared" si="17"/>
        <v/>
      </c>
      <c r="Q56" s="28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</row>
    <row r="57" spans="2:223" ht="18" customHeight="1">
      <c r="B57" s="22">
        <f t="shared" si="13"/>
        <v>45</v>
      </c>
      <c r="C57" s="114"/>
      <c r="D57" s="131"/>
      <c r="E57" s="83"/>
      <c r="F57" s="83"/>
      <c r="G57" s="106"/>
      <c r="H57" s="83"/>
      <c r="I57" s="141"/>
      <c r="J57" s="23"/>
      <c r="K57" s="24"/>
      <c r="L57" s="25"/>
      <c r="M57" s="23"/>
      <c r="N57" s="24"/>
      <c r="O57" s="26" t="str">
        <f t="shared" si="18"/>
        <v/>
      </c>
      <c r="P57" s="27" t="str">
        <f t="shared" si="17"/>
        <v/>
      </c>
      <c r="Q57" s="28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</row>
    <row r="58" spans="2:223" ht="18" customHeight="1">
      <c r="B58" s="22">
        <f t="shared" si="13"/>
        <v>46</v>
      </c>
      <c r="C58" s="114"/>
      <c r="D58" s="131"/>
      <c r="E58" s="83"/>
      <c r="F58" s="83"/>
      <c r="G58" s="106"/>
      <c r="H58" s="83"/>
      <c r="I58" s="141"/>
      <c r="J58" s="23"/>
      <c r="K58" s="24"/>
      <c r="L58" s="25"/>
      <c r="M58" s="23"/>
      <c r="N58" s="24"/>
      <c r="O58" s="26" t="str">
        <f t="shared" si="18"/>
        <v/>
      </c>
      <c r="P58" s="27" t="str">
        <f t="shared" si="17"/>
        <v/>
      </c>
      <c r="Q58" s="28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</row>
    <row r="59" spans="2:223" ht="18" customHeight="1">
      <c r="B59" s="22">
        <f t="shared" si="13"/>
        <v>47</v>
      </c>
      <c r="C59" s="114"/>
      <c r="D59" s="131"/>
      <c r="E59" s="83"/>
      <c r="F59" s="83"/>
      <c r="G59" s="106"/>
      <c r="H59" s="83"/>
      <c r="I59" s="141"/>
      <c r="J59" s="23"/>
      <c r="K59" s="24"/>
      <c r="L59" s="25"/>
      <c r="M59" s="23"/>
      <c r="N59" s="24"/>
      <c r="O59" s="26" t="str">
        <f>IF(N59&lt;&gt;"","完了",IF(AND(M59&lt;&gt;"",N59=""),"作業中",IF(AND(J59="",K59=""),"","未着手")))</f>
        <v/>
      </c>
      <c r="P59" s="27" t="str">
        <f t="shared" si="17"/>
        <v/>
      </c>
      <c r="Q59" s="28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</row>
    <row r="60" spans="2:223" ht="18" customHeight="1">
      <c r="B60" s="22">
        <f t="shared" si="13"/>
        <v>48</v>
      </c>
      <c r="C60" s="114"/>
      <c r="D60" s="131"/>
      <c r="E60" s="83"/>
      <c r="F60" s="83"/>
      <c r="G60" s="106"/>
      <c r="H60" s="83"/>
      <c r="I60" s="141"/>
      <c r="J60" s="23"/>
      <c r="K60" s="24"/>
      <c r="L60" s="25"/>
      <c r="M60" s="23"/>
      <c r="N60" s="24"/>
      <c r="O60" s="26" t="str">
        <f t="shared" si="18"/>
        <v/>
      </c>
      <c r="P60" s="27" t="str">
        <f t="shared" si="17"/>
        <v/>
      </c>
      <c r="Q60" s="28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</row>
    <row r="61" spans="2:223" ht="18" customHeight="1">
      <c r="B61" s="22">
        <f t="shared" si="13"/>
        <v>49</v>
      </c>
      <c r="C61" s="114"/>
      <c r="D61" s="131"/>
      <c r="E61" s="83"/>
      <c r="F61" s="83"/>
      <c r="G61" s="106"/>
      <c r="H61" s="83"/>
      <c r="I61" s="141"/>
      <c r="J61" s="23"/>
      <c r="K61" s="24"/>
      <c r="L61" s="25"/>
      <c r="M61" s="23"/>
      <c r="N61" s="24"/>
      <c r="O61" s="26" t="str">
        <f t="shared" si="18"/>
        <v/>
      </c>
      <c r="P61" s="27" t="str">
        <f t="shared" si="17"/>
        <v/>
      </c>
      <c r="Q61" s="28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</row>
    <row r="62" spans="2:223" ht="18" customHeight="1">
      <c r="B62" s="22">
        <f t="shared" si="13"/>
        <v>50</v>
      </c>
      <c r="C62" s="114"/>
      <c r="D62" s="131"/>
      <c r="E62" s="83"/>
      <c r="F62" s="83"/>
      <c r="G62" s="106"/>
      <c r="H62" s="83"/>
      <c r="I62" s="141"/>
      <c r="J62" s="23"/>
      <c r="K62" s="24"/>
      <c r="L62" s="25"/>
      <c r="M62" s="23"/>
      <c r="N62" s="24"/>
      <c r="O62" s="26" t="str">
        <f>IF(N62&lt;&gt;"","完了",IF(AND(M62&lt;&gt;"",N62=""),"作業中",IF(AND(J62="",K62=""),"","未着手")))</f>
        <v/>
      </c>
      <c r="P62" s="27" t="str">
        <f t="shared" si="17"/>
        <v/>
      </c>
      <c r="Q62" s="28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</row>
    <row r="63" spans="2:223" ht="18" customHeight="1">
      <c r="B63" s="22">
        <f t="shared" si="13"/>
        <v>51</v>
      </c>
      <c r="C63" s="114"/>
      <c r="D63" s="131"/>
      <c r="E63" s="83"/>
      <c r="F63" s="83"/>
      <c r="G63" s="106"/>
      <c r="H63" s="83"/>
      <c r="I63" s="141"/>
      <c r="J63" s="23"/>
      <c r="K63" s="24"/>
      <c r="L63" s="25"/>
      <c r="M63" s="23"/>
      <c r="N63" s="24"/>
      <c r="O63" s="26" t="str">
        <f t="shared" si="18"/>
        <v/>
      </c>
      <c r="P63" s="27" t="str">
        <f t="shared" si="17"/>
        <v/>
      </c>
      <c r="Q63" s="28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</row>
    <row r="64" spans="2:223" ht="18" customHeight="1">
      <c r="B64" s="22">
        <f t="shared" si="13"/>
        <v>52</v>
      </c>
      <c r="C64" s="114"/>
      <c r="D64" s="131"/>
      <c r="E64" s="83"/>
      <c r="F64" s="83"/>
      <c r="G64" s="106"/>
      <c r="H64" s="83"/>
      <c r="I64" s="141"/>
      <c r="J64" s="23"/>
      <c r="K64" s="24"/>
      <c r="L64" s="25"/>
      <c r="M64" s="23"/>
      <c r="N64" s="24"/>
      <c r="O64" s="26" t="str">
        <f t="shared" si="18"/>
        <v/>
      </c>
      <c r="P64" s="27" t="str">
        <f t="shared" si="17"/>
        <v/>
      </c>
      <c r="Q64" s="28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</row>
    <row r="65" spans="2:223" ht="18" customHeight="1">
      <c r="B65" s="22">
        <f t="shared" si="13"/>
        <v>53</v>
      </c>
      <c r="C65" s="114"/>
      <c r="D65" s="114"/>
      <c r="E65" s="115"/>
      <c r="F65" s="115"/>
      <c r="G65" s="116"/>
      <c r="H65" s="115"/>
      <c r="I65" s="142"/>
      <c r="J65" s="124"/>
      <c r="K65" s="125"/>
      <c r="L65" s="126"/>
      <c r="M65" s="124"/>
      <c r="N65" s="125"/>
      <c r="O65" s="127"/>
      <c r="P65" s="128" t="str">
        <f t="shared" si="17"/>
        <v/>
      </c>
      <c r="Q65" s="129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4"/>
      <c r="AZ65" s="114"/>
      <c r="BA65" s="114"/>
      <c r="BB65" s="114"/>
      <c r="BC65" s="114"/>
      <c r="BD65" s="114"/>
      <c r="BE65" s="114"/>
      <c r="BF65" s="114"/>
      <c r="BG65" s="114"/>
      <c r="BH65" s="114"/>
      <c r="BI65" s="114"/>
      <c r="BJ65" s="114"/>
      <c r="BK65" s="114"/>
      <c r="BL65" s="114"/>
      <c r="BM65" s="114"/>
      <c r="BN65" s="114"/>
      <c r="BO65" s="114"/>
      <c r="BP65" s="114"/>
      <c r="BQ65" s="114"/>
      <c r="BR65" s="114"/>
      <c r="BS65" s="114"/>
      <c r="BT65" s="114"/>
      <c r="BU65" s="114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</row>
    <row r="66" spans="2:223" ht="18" customHeight="1">
      <c r="B66" s="22">
        <f t="shared" si="13"/>
        <v>54</v>
      </c>
      <c r="C66" s="114"/>
      <c r="D66" s="131"/>
      <c r="E66" s="132"/>
      <c r="F66" s="132"/>
      <c r="G66" s="133"/>
      <c r="H66" s="132"/>
      <c r="I66" s="143"/>
      <c r="J66" s="134"/>
      <c r="K66" s="135"/>
      <c r="L66" s="136"/>
      <c r="M66" s="134"/>
      <c r="N66" s="135"/>
      <c r="O66" s="137"/>
      <c r="P66" s="138" t="str">
        <f t="shared" si="17"/>
        <v/>
      </c>
      <c r="Q66" s="139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  <c r="BG66" s="131"/>
      <c r="BH66" s="131"/>
      <c r="BI66" s="131"/>
      <c r="BJ66" s="131"/>
      <c r="BK66" s="131"/>
      <c r="BL66" s="131"/>
      <c r="BM66" s="131"/>
      <c r="BN66" s="131"/>
      <c r="BO66" s="131"/>
      <c r="BP66" s="131"/>
      <c r="BQ66" s="131"/>
      <c r="BR66" s="131"/>
      <c r="BS66" s="131"/>
      <c r="BT66" s="131"/>
      <c r="BU66" s="131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</row>
    <row r="67" spans="2:223" ht="18" customHeight="1">
      <c r="B67" s="22">
        <f t="shared" si="13"/>
        <v>55</v>
      </c>
      <c r="C67" s="114"/>
      <c r="D67" s="131"/>
      <c r="E67" s="83"/>
      <c r="F67" s="83"/>
      <c r="G67" s="106"/>
      <c r="H67" s="83"/>
      <c r="I67" s="141"/>
      <c r="J67" s="23"/>
      <c r="K67" s="24"/>
      <c r="L67" s="25"/>
      <c r="M67" s="23"/>
      <c r="N67" s="24"/>
      <c r="O67" s="26" t="str">
        <f>IF(N67&lt;&gt;"","完了",IF(AND(M67&lt;&gt;"",N67=""),"作業中",IF(AND(J67="",K67=""),"","未着手")))</f>
        <v/>
      </c>
      <c r="P67" s="27" t="str">
        <f t="shared" si="17"/>
        <v/>
      </c>
      <c r="Q67" s="28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</row>
    <row r="68" spans="2:223" ht="18" customHeight="1">
      <c r="B68" s="22">
        <f t="shared" si="13"/>
        <v>56</v>
      </c>
      <c r="C68" s="114"/>
      <c r="D68" s="131"/>
      <c r="E68" s="83"/>
      <c r="F68" s="83"/>
      <c r="G68" s="106"/>
      <c r="H68" s="83"/>
      <c r="I68" s="141"/>
      <c r="J68" s="23"/>
      <c r="K68" s="24"/>
      <c r="L68" s="25"/>
      <c r="M68" s="23"/>
      <c r="N68" s="24"/>
      <c r="O68" s="26" t="str">
        <f>IF(N68&lt;&gt;"","完了",IF(AND(M68&lt;&gt;"",N68=""),"作業中",IF(AND(J68="",K68=""),"","未着手")))</f>
        <v/>
      </c>
      <c r="P68" s="27" t="str">
        <f t="shared" si="17"/>
        <v/>
      </c>
      <c r="Q68" s="28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</row>
    <row r="69" spans="2:223" ht="18" customHeight="1">
      <c r="B69" s="22">
        <f t="shared" si="13"/>
        <v>57</v>
      </c>
      <c r="C69" s="114"/>
      <c r="D69" s="131"/>
      <c r="E69" s="83"/>
      <c r="F69" s="83"/>
      <c r="G69" s="106"/>
      <c r="H69" s="83"/>
      <c r="I69" s="141"/>
      <c r="J69" s="23"/>
      <c r="K69" s="24"/>
      <c r="L69" s="25"/>
      <c r="M69" s="23"/>
      <c r="N69" s="24"/>
      <c r="O69" s="26" t="str">
        <f>IF(N69&lt;&gt;"","完了",IF(AND(M69&lt;&gt;"",N69=""),"作業中",IF(AND(J69="",K69=""),"","未着手")))</f>
        <v/>
      </c>
      <c r="P69" s="27" t="str">
        <f t="shared" si="17"/>
        <v/>
      </c>
      <c r="Q69" s="28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</row>
    <row r="70" spans="2:223" ht="18" customHeight="1">
      <c r="B70" s="22">
        <f t="shared" si="13"/>
        <v>58</v>
      </c>
      <c r="C70" s="114"/>
      <c r="D70" s="131"/>
      <c r="E70" s="132"/>
      <c r="F70" s="132"/>
      <c r="G70" s="133"/>
      <c r="H70" s="132"/>
      <c r="I70" s="143"/>
      <c r="J70" s="134"/>
      <c r="K70" s="135"/>
      <c r="L70" s="136"/>
      <c r="M70" s="134"/>
      <c r="N70" s="135"/>
      <c r="O70" s="137"/>
      <c r="P70" s="138" t="str">
        <f t="shared" si="17"/>
        <v/>
      </c>
      <c r="Q70" s="139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  <c r="BS70" s="131"/>
      <c r="BT70" s="131"/>
      <c r="BU70" s="131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</row>
    <row r="71" spans="2:223" ht="18" customHeight="1">
      <c r="B71" s="22">
        <f t="shared" si="13"/>
        <v>59</v>
      </c>
      <c r="C71" s="114"/>
      <c r="D71" s="131"/>
      <c r="E71" s="83"/>
      <c r="F71" s="83"/>
      <c r="G71" s="106"/>
      <c r="H71" s="83"/>
      <c r="I71" s="141"/>
      <c r="J71" s="23"/>
      <c r="K71" s="24"/>
      <c r="L71" s="25"/>
      <c r="M71" s="23"/>
      <c r="N71" s="24"/>
      <c r="O71" s="26" t="str">
        <f>IF(N71&lt;&gt;"","完了",IF(AND(M71&lt;&gt;"",N71=""),"作業中",IF(AND(J71="",K71=""),"","未着手")))</f>
        <v/>
      </c>
      <c r="P71" s="27" t="str">
        <f t="shared" si="17"/>
        <v/>
      </c>
      <c r="Q71" s="28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</row>
    <row r="72" spans="2:223" ht="18" customHeight="1">
      <c r="B72" s="22">
        <f t="shared" si="13"/>
        <v>60</v>
      </c>
      <c r="C72" s="114"/>
      <c r="D72" s="131"/>
      <c r="E72" s="83"/>
      <c r="F72" s="83"/>
      <c r="G72" s="106"/>
      <c r="H72" s="83"/>
      <c r="I72" s="141"/>
      <c r="J72" s="23"/>
      <c r="K72" s="24"/>
      <c r="L72" s="25"/>
      <c r="M72" s="23"/>
      <c r="N72" s="24"/>
      <c r="O72" s="26" t="str">
        <f>IF(N72&lt;&gt;"","完了",IF(AND(M72&lt;&gt;"",N72=""),"作業中",IF(AND(J72="",K72=""),"","未着手")))</f>
        <v/>
      </c>
      <c r="P72" s="27" t="str">
        <f t="shared" si="17"/>
        <v/>
      </c>
      <c r="Q72" s="28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</row>
    <row r="73" spans="2:223" ht="18" customHeight="1">
      <c r="B73" s="22">
        <f t="shared" si="13"/>
        <v>61</v>
      </c>
      <c r="C73" s="114"/>
      <c r="D73" s="131"/>
      <c r="E73" s="83"/>
      <c r="F73" s="83"/>
      <c r="G73" s="106"/>
      <c r="H73" s="83"/>
      <c r="I73" s="141"/>
      <c r="J73" s="23"/>
      <c r="K73" s="24"/>
      <c r="L73" s="25"/>
      <c r="M73" s="23"/>
      <c r="N73" s="24"/>
      <c r="O73" s="26" t="str">
        <f>IF(N73&lt;&gt;"","完了",IF(AND(M73&lt;&gt;"",N73=""),"作業中",IF(AND(J73="",K73=""),"","未着手")))</f>
        <v/>
      </c>
      <c r="P73" s="27" t="str">
        <f t="shared" si="17"/>
        <v/>
      </c>
      <c r="Q73" s="28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</row>
    <row r="74" spans="2:223" ht="18" customHeight="1">
      <c r="B74" s="22">
        <f t="shared" si="13"/>
        <v>62</v>
      </c>
      <c r="C74" s="114"/>
      <c r="D74" s="131"/>
      <c r="E74" s="83"/>
      <c r="F74" s="83"/>
      <c r="G74" s="106"/>
      <c r="H74" s="83"/>
      <c r="I74" s="141"/>
      <c r="J74" s="23"/>
      <c r="K74" s="24"/>
      <c r="L74" s="25"/>
      <c r="M74" s="23"/>
      <c r="N74" s="24"/>
      <c r="O74" s="26" t="str">
        <f>IF(N74&lt;&gt;"","完了",IF(AND(M74&lt;&gt;"",N74=""),"作業中",IF(AND(J74="",K74=""),"","未着手")))</f>
        <v/>
      </c>
      <c r="P74" s="27" t="str">
        <f t="shared" si="17"/>
        <v/>
      </c>
      <c r="Q74" s="28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</row>
    <row r="75" spans="2:223" ht="18" customHeight="1">
      <c r="B75" s="22">
        <f t="shared" si="13"/>
        <v>63</v>
      </c>
      <c r="C75" s="114"/>
      <c r="D75" s="131"/>
      <c r="E75" s="83"/>
      <c r="F75" s="83"/>
      <c r="G75" s="106"/>
      <c r="H75" s="83"/>
      <c r="I75" s="141"/>
      <c r="J75" s="23"/>
      <c r="K75" s="24"/>
      <c r="L75" s="25"/>
      <c r="M75" s="23"/>
      <c r="N75" s="24"/>
      <c r="O75" s="26" t="str">
        <f>IF(N75&lt;&gt;"","完了",IF(AND(M75&lt;&gt;"",N75=""),"作業中",IF(AND(J75="",K75=""),"","未着手")))</f>
        <v/>
      </c>
      <c r="P75" s="27" t="str">
        <f t="shared" si="17"/>
        <v/>
      </c>
      <c r="Q75" s="28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</row>
    <row r="76" spans="2:223" ht="18" customHeight="1">
      <c r="B76" s="22">
        <f t="shared" si="13"/>
        <v>64</v>
      </c>
      <c r="C76" s="114"/>
      <c r="D76" s="114"/>
      <c r="E76" s="115"/>
      <c r="F76" s="115"/>
      <c r="G76" s="116"/>
      <c r="H76" s="115"/>
      <c r="I76" s="142"/>
      <c r="J76" s="124"/>
      <c r="K76" s="125"/>
      <c r="L76" s="126"/>
      <c r="M76" s="124"/>
      <c r="N76" s="125"/>
      <c r="O76" s="127"/>
      <c r="P76" s="128" t="str">
        <f t="shared" si="17"/>
        <v/>
      </c>
      <c r="Q76" s="129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  <c r="AZ76" s="114"/>
      <c r="BA76" s="114"/>
      <c r="BB76" s="114"/>
      <c r="BC76" s="114"/>
      <c r="BD76" s="114"/>
      <c r="BE76" s="114"/>
      <c r="BF76" s="114"/>
      <c r="BG76" s="114"/>
      <c r="BH76" s="114"/>
      <c r="BI76" s="114"/>
      <c r="BJ76" s="114"/>
      <c r="BK76" s="114"/>
      <c r="BL76" s="114"/>
      <c r="BM76" s="114"/>
      <c r="BN76" s="114"/>
      <c r="BO76" s="114"/>
      <c r="BP76" s="114"/>
      <c r="BQ76" s="114"/>
      <c r="BR76" s="114"/>
      <c r="BS76" s="114"/>
      <c r="BT76" s="114"/>
      <c r="BU76" s="114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</row>
    <row r="77" spans="2:223" ht="18" customHeight="1">
      <c r="B77" s="22">
        <f t="shared" si="13"/>
        <v>65</v>
      </c>
      <c r="C77" s="114"/>
      <c r="D77" s="131"/>
      <c r="E77" s="132"/>
      <c r="F77" s="132"/>
      <c r="G77" s="133"/>
      <c r="H77" s="132"/>
      <c r="I77" s="143"/>
      <c r="J77" s="134"/>
      <c r="K77" s="135"/>
      <c r="L77" s="136"/>
      <c r="M77" s="134"/>
      <c r="N77" s="135"/>
      <c r="O77" s="137"/>
      <c r="P77" s="138" t="str">
        <f t="shared" ref="P77:P108" si="19">IF(AND(ISNUMBER(M77),ISNUMBER(N77)),N77-M77+1,IF(OR(ISBLANK(J77),ISBLANK(K77)),"",K77-J77+1))</f>
        <v/>
      </c>
      <c r="Q77" s="139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1"/>
      <c r="BN77" s="131"/>
      <c r="BO77" s="131"/>
      <c r="BP77" s="131"/>
      <c r="BQ77" s="131"/>
      <c r="BR77" s="131"/>
      <c r="BS77" s="131"/>
      <c r="BT77" s="131"/>
      <c r="BU77" s="131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</row>
    <row r="78" spans="2:223" ht="18" customHeight="1">
      <c r="B78" s="22">
        <f t="shared" si="13"/>
        <v>66</v>
      </c>
      <c r="C78" s="114"/>
      <c r="D78" s="131"/>
      <c r="E78" s="83"/>
      <c r="F78" s="83"/>
      <c r="G78" s="106"/>
      <c r="H78" s="83"/>
      <c r="I78" s="141"/>
      <c r="J78" s="23"/>
      <c r="K78" s="24"/>
      <c r="L78" s="25"/>
      <c r="M78" s="23"/>
      <c r="N78" s="24"/>
      <c r="O78" s="26" t="str">
        <f>IF(N78&lt;&gt;"","完了",IF(AND(M78&lt;&gt;"",N78=""),"作業中",IF(AND(J78="",K78=""),"","未着手")))</f>
        <v/>
      </c>
      <c r="P78" s="27" t="str">
        <f t="shared" si="19"/>
        <v/>
      </c>
      <c r="Q78" s="28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</row>
    <row r="79" spans="2:223" ht="18" customHeight="1">
      <c r="B79" s="22">
        <f t="shared" si="13"/>
        <v>67</v>
      </c>
      <c r="C79" s="114"/>
      <c r="D79" s="131"/>
      <c r="E79" s="132"/>
      <c r="F79" s="132"/>
      <c r="G79" s="133"/>
      <c r="H79" s="132"/>
      <c r="I79" s="143"/>
      <c r="J79" s="134"/>
      <c r="K79" s="135"/>
      <c r="L79" s="136"/>
      <c r="M79" s="134"/>
      <c r="N79" s="135"/>
      <c r="O79" s="137"/>
      <c r="P79" s="138" t="str">
        <f t="shared" si="19"/>
        <v/>
      </c>
      <c r="Q79" s="139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  <c r="BH79" s="131"/>
      <c r="BI79" s="131"/>
      <c r="BJ79" s="131"/>
      <c r="BK79" s="131"/>
      <c r="BL79" s="131"/>
      <c r="BM79" s="131"/>
      <c r="BN79" s="131"/>
      <c r="BO79" s="131"/>
      <c r="BP79" s="131"/>
      <c r="BQ79" s="131"/>
      <c r="BR79" s="131"/>
      <c r="BS79" s="131"/>
      <c r="BT79" s="131"/>
      <c r="BU79" s="131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</row>
    <row r="80" spans="2:223" ht="18" customHeight="1">
      <c r="B80" s="22">
        <f t="shared" si="13"/>
        <v>68</v>
      </c>
      <c r="C80" s="114"/>
      <c r="D80" s="131"/>
      <c r="E80" s="22"/>
      <c r="F80" s="83"/>
      <c r="G80" s="106"/>
      <c r="H80" s="83"/>
      <c r="I80" s="141"/>
      <c r="J80" s="23"/>
      <c r="K80" s="24"/>
      <c r="L80" s="25"/>
      <c r="M80" s="23"/>
      <c r="N80" s="24"/>
      <c r="O80" s="26" t="str">
        <f>IF(N80&lt;&gt;"","完了",IF(AND(M80&lt;&gt;"",N80=""),"作業中",IF(AND(J80="",K80=""),"","未着手")))</f>
        <v/>
      </c>
      <c r="P80" s="27" t="str">
        <f t="shared" si="19"/>
        <v/>
      </c>
      <c r="Q80" s="28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</row>
    <row r="81" spans="2:223" ht="18" customHeight="1">
      <c r="B81" s="22">
        <f t="shared" si="13"/>
        <v>69</v>
      </c>
      <c r="C81" s="114"/>
      <c r="D81" s="131"/>
      <c r="E81" s="132"/>
      <c r="F81" s="132"/>
      <c r="G81" s="133"/>
      <c r="H81" s="132"/>
      <c r="I81" s="143"/>
      <c r="J81" s="134"/>
      <c r="K81" s="135"/>
      <c r="L81" s="136"/>
      <c r="M81" s="134"/>
      <c r="N81" s="135"/>
      <c r="O81" s="137"/>
      <c r="P81" s="138" t="str">
        <f t="shared" si="19"/>
        <v/>
      </c>
      <c r="Q81" s="139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  <c r="BH81" s="131"/>
      <c r="BI81" s="131"/>
      <c r="BJ81" s="131"/>
      <c r="BK81" s="131"/>
      <c r="BL81" s="131"/>
      <c r="BM81" s="131"/>
      <c r="BN81" s="131"/>
      <c r="BO81" s="131"/>
      <c r="BP81" s="131"/>
      <c r="BQ81" s="131"/>
      <c r="BR81" s="131"/>
      <c r="BS81" s="131"/>
      <c r="BT81" s="131"/>
      <c r="BU81" s="131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</row>
    <row r="82" spans="2:223" ht="18" customHeight="1">
      <c r="B82" s="22">
        <f t="shared" si="13"/>
        <v>70</v>
      </c>
      <c r="C82" s="114"/>
      <c r="D82" s="131"/>
      <c r="E82" s="22"/>
      <c r="F82" s="83"/>
      <c r="G82" s="106"/>
      <c r="H82" s="83"/>
      <c r="I82" s="141"/>
      <c r="J82" s="23"/>
      <c r="K82" s="24"/>
      <c r="L82" s="25"/>
      <c r="M82" s="23"/>
      <c r="N82" s="24"/>
      <c r="O82" s="26"/>
      <c r="P82" s="27" t="str">
        <f t="shared" si="19"/>
        <v/>
      </c>
      <c r="Q82" s="28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</row>
    <row r="83" spans="2:223" ht="18" customHeight="1">
      <c r="B83" s="22">
        <f t="shared" si="13"/>
        <v>71</v>
      </c>
      <c r="C83" s="114"/>
      <c r="D83" s="131"/>
      <c r="E83" s="22"/>
      <c r="F83" s="83"/>
      <c r="G83" s="106"/>
      <c r="H83" s="83"/>
      <c r="I83" s="141"/>
      <c r="J83" s="23"/>
      <c r="K83" s="24"/>
      <c r="L83" s="25"/>
      <c r="M83" s="23"/>
      <c r="N83" s="24"/>
      <c r="O83" s="26"/>
      <c r="P83" s="27" t="str">
        <f t="shared" si="19"/>
        <v/>
      </c>
      <c r="Q83" s="28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</row>
    <row r="84" spans="2:223" ht="18" customHeight="1">
      <c r="B84" s="22">
        <f t="shared" si="13"/>
        <v>72</v>
      </c>
      <c r="C84" s="114"/>
      <c r="D84" s="131"/>
      <c r="E84" s="83"/>
      <c r="F84" s="83"/>
      <c r="G84" s="106"/>
      <c r="H84" s="83"/>
      <c r="I84" s="111"/>
      <c r="J84" s="23"/>
      <c r="K84" s="24"/>
      <c r="L84" s="25"/>
      <c r="M84" s="23"/>
      <c r="N84" s="24"/>
      <c r="O84" s="26"/>
      <c r="P84" s="27" t="str">
        <f t="shared" si="19"/>
        <v/>
      </c>
      <c r="Q84" s="28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</row>
    <row r="85" spans="2:223" ht="18" customHeight="1">
      <c r="B85" s="22">
        <f t="shared" si="13"/>
        <v>73</v>
      </c>
      <c r="C85" s="114"/>
      <c r="D85" s="114"/>
      <c r="E85" s="115"/>
      <c r="F85" s="115"/>
      <c r="G85" s="116"/>
      <c r="H85" s="115"/>
      <c r="I85" s="142"/>
      <c r="J85" s="124"/>
      <c r="K85" s="125"/>
      <c r="L85" s="126"/>
      <c r="M85" s="124"/>
      <c r="N85" s="125"/>
      <c r="O85" s="127"/>
      <c r="P85" s="128" t="str">
        <f t="shared" si="19"/>
        <v/>
      </c>
      <c r="Q85" s="129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  <c r="AZ85" s="114"/>
      <c r="BA85" s="114"/>
      <c r="BB85" s="114"/>
      <c r="BC85" s="114"/>
      <c r="BD85" s="114"/>
      <c r="BE85" s="114"/>
      <c r="BF85" s="114"/>
      <c r="BG85" s="114"/>
      <c r="BH85" s="114"/>
      <c r="BI85" s="114"/>
      <c r="BJ85" s="114"/>
      <c r="BK85" s="114"/>
      <c r="BL85" s="114"/>
      <c r="BM85" s="114"/>
      <c r="BN85" s="114"/>
      <c r="BO85" s="114"/>
      <c r="BP85" s="114"/>
      <c r="BQ85" s="114"/>
      <c r="BR85" s="114"/>
      <c r="BS85" s="114"/>
      <c r="BT85" s="114"/>
      <c r="BU85" s="114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</row>
    <row r="86" spans="2:223" ht="18" customHeight="1">
      <c r="B86" s="22">
        <f t="shared" si="13"/>
        <v>74</v>
      </c>
      <c r="C86" s="114"/>
      <c r="D86" s="131"/>
      <c r="E86" s="132"/>
      <c r="F86" s="132"/>
      <c r="G86" s="133"/>
      <c r="H86" s="132"/>
      <c r="I86" s="143"/>
      <c r="J86" s="134"/>
      <c r="K86" s="135"/>
      <c r="L86" s="136"/>
      <c r="M86" s="134"/>
      <c r="N86" s="135"/>
      <c r="O86" s="137"/>
      <c r="P86" s="138" t="str">
        <f t="shared" si="19"/>
        <v/>
      </c>
      <c r="Q86" s="139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  <c r="BI86" s="131"/>
      <c r="BJ86" s="131"/>
      <c r="BK86" s="131"/>
      <c r="BL86" s="131"/>
      <c r="BM86" s="131"/>
      <c r="BN86" s="131"/>
      <c r="BO86" s="131"/>
      <c r="BP86" s="131"/>
      <c r="BQ86" s="131"/>
      <c r="BR86" s="131"/>
      <c r="BS86" s="131"/>
      <c r="BT86" s="131"/>
      <c r="BU86" s="131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</row>
    <row r="87" spans="2:223" ht="18" customHeight="1">
      <c r="B87" s="22">
        <f t="shared" si="13"/>
        <v>75</v>
      </c>
      <c r="C87" s="114"/>
      <c r="D87" s="131"/>
      <c r="E87" s="22"/>
      <c r="F87" s="83"/>
      <c r="G87" s="106"/>
      <c r="H87" s="83"/>
      <c r="I87" s="141"/>
      <c r="J87" s="23"/>
      <c r="K87" s="24"/>
      <c r="L87" s="25"/>
      <c r="M87" s="23"/>
      <c r="N87" s="24"/>
      <c r="O87" s="26" t="str">
        <f>IF(N87&lt;&gt;"","完了",IF(AND(M87&lt;&gt;"",N87=""),"作業中",IF(AND(J87="",K87=""),"","未着手")))</f>
        <v/>
      </c>
      <c r="P87" s="27" t="str">
        <f t="shared" si="19"/>
        <v/>
      </c>
      <c r="Q87" s="28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</row>
    <row r="88" spans="2:223" ht="18" customHeight="1">
      <c r="B88" s="22">
        <f t="shared" si="13"/>
        <v>76</v>
      </c>
      <c r="C88" s="114"/>
      <c r="D88" s="131"/>
      <c r="E88" s="22"/>
      <c r="F88" s="83"/>
      <c r="G88" s="106"/>
      <c r="H88" s="83"/>
      <c r="I88" s="141"/>
      <c r="J88" s="23"/>
      <c r="K88" s="24"/>
      <c r="L88" s="25"/>
      <c r="M88" s="23"/>
      <c r="N88" s="24"/>
      <c r="O88" s="26" t="str">
        <f>IF(N88&lt;&gt;"","完了",IF(AND(M88&lt;&gt;"",N88=""),"作業中",IF(AND(J88="",K88=""),"","未着手")))</f>
        <v/>
      </c>
      <c r="P88" s="27" t="str">
        <f t="shared" si="19"/>
        <v/>
      </c>
      <c r="Q88" s="28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</row>
    <row r="89" spans="2:223" ht="18" customHeight="1">
      <c r="B89" s="22">
        <f t="shared" si="13"/>
        <v>77</v>
      </c>
      <c r="C89" s="114"/>
      <c r="D89" s="131"/>
      <c r="E89" s="22"/>
      <c r="F89" s="83"/>
      <c r="G89" s="106"/>
      <c r="H89" s="83"/>
      <c r="I89" s="141"/>
      <c r="J89" s="23"/>
      <c r="K89" s="24"/>
      <c r="L89" s="25"/>
      <c r="M89" s="23"/>
      <c r="N89" s="24"/>
      <c r="O89" s="26"/>
      <c r="P89" s="27" t="str">
        <f t="shared" si="19"/>
        <v/>
      </c>
      <c r="Q89" s="28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</row>
    <row r="90" spans="2:223" ht="18" customHeight="1">
      <c r="B90" s="22">
        <f t="shared" si="13"/>
        <v>78</v>
      </c>
      <c r="C90" s="114"/>
      <c r="D90" s="131"/>
      <c r="E90" s="22"/>
      <c r="F90" s="83"/>
      <c r="G90" s="106"/>
      <c r="H90" s="83"/>
      <c r="I90" s="141"/>
      <c r="J90" s="23"/>
      <c r="K90" s="24"/>
      <c r="L90" s="25"/>
      <c r="M90" s="23"/>
      <c r="N90" s="24"/>
      <c r="O90" s="26"/>
      <c r="P90" s="27" t="str">
        <f t="shared" si="19"/>
        <v/>
      </c>
      <c r="Q90" s="28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</row>
    <row r="91" spans="2:223" ht="18" customHeight="1">
      <c r="B91" s="22">
        <f t="shared" si="13"/>
        <v>79</v>
      </c>
      <c r="C91" s="114"/>
      <c r="D91" s="131"/>
      <c r="E91" s="132"/>
      <c r="F91" s="132"/>
      <c r="G91" s="133"/>
      <c r="H91" s="132"/>
      <c r="I91" s="143"/>
      <c r="J91" s="134"/>
      <c r="K91" s="135"/>
      <c r="L91" s="136"/>
      <c r="M91" s="134"/>
      <c r="N91" s="135"/>
      <c r="O91" s="137"/>
      <c r="P91" s="138" t="str">
        <f t="shared" si="19"/>
        <v/>
      </c>
      <c r="Q91" s="139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  <c r="BH91" s="131"/>
      <c r="BI91" s="131"/>
      <c r="BJ91" s="131"/>
      <c r="BK91" s="131"/>
      <c r="BL91" s="131"/>
      <c r="BM91" s="131"/>
      <c r="BN91" s="131"/>
      <c r="BO91" s="131"/>
      <c r="BP91" s="131"/>
      <c r="BQ91" s="131"/>
      <c r="BR91" s="131"/>
      <c r="BS91" s="131"/>
      <c r="BT91" s="131"/>
      <c r="BU91" s="131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</row>
    <row r="92" spans="2:223" ht="18" customHeight="1">
      <c r="B92" s="22">
        <f t="shared" si="13"/>
        <v>80</v>
      </c>
      <c r="C92" s="114"/>
      <c r="D92" s="131"/>
      <c r="E92" s="22"/>
      <c r="F92" s="83"/>
      <c r="G92" s="106"/>
      <c r="H92" s="83"/>
      <c r="I92" s="141"/>
      <c r="J92" s="23"/>
      <c r="K92" s="24"/>
      <c r="L92" s="25"/>
      <c r="M92" s="23"/>
      <c r="N92" s="24"/>
      <c r="O92" s="26"/>
      <c r="P92" s="27" t="str">
        <f t="shared" si="19"/>
        <v/>
      </c>
      <c r="Q92" s="28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</row>
    <row r="93" spans="2:223" ht="18" customHeight="1">
      <c r="B93" s="22">
        <f t="shared" si="13"/>
        <v>81</v>
      </c>
      <c r="C93" s="114"/>
      <c r="D93" s="131"/>
      <c r="E93" s="132"/>
      <c r="F93" s="132"/>
      <c r="G93" s="133"/>
      <c r="H93" s="132"/>
      <c r="I93" s="143"/>
      <c r="J93" s="134"/>
      <c r="K93" s="135"/>
      <c r="L93" s="136"/>
      <c r="M93" s="134"/>
      <c r="N93" s="135"/>
      <c r="O93" s="137"/>
      <c r="P93" s="138" t="str">
        <f t="shared" si="19"/>
        <v/>
      </c>
      <c r="Q93" s="139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  <c r="BH93" s="131"/>
      <c r="BI93" s="131"/>
      <c r="BJ93" s="131"/>
      <c r="BK93" s="131"/>
      <c r="BL93" s="131"/>
      <c r="BM93" s="131"/>
      <c r="BN93" s="131"/>
      <c r="BO93" s="131"/>
      <c r="BP93" s="131"/>
      <c r="BQ93" s="131"/>
      <c r="BR93" s="131"/>
      <c r="BS93" s="131"/>
      <c r="BT93" s="131"/>
      <c r="BU93" s="131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</row>
    <row r="94" spans="2:223" ht="18" customHeight="1">
      <c r="B94" s="22">
        <f t="shared" si="13"/>
        <v>82</v>
      </c>
      <c r="C94" s="114"/>
      <c r="D94" s="131"/>
      <c r="E94" s="22"/>
      <c r="F94" s="83"/>
      <c r="G94" s="106"/>
      <c r="H94" s="83"/>
      <c r="I94" s="141"/>
      <c r="J94" s="23"/>
      <c r="K94" s="24"/>
      <c r="L94" s="25"/>
      <c r="M94" s="23"/>
      <c r="N94" s="24"/>
      <c r="O94" s="26"/>
      <c r="P94" s="27" t="str">
        <f t="shared" si="19"/>
        <v/>
      </c>
      <c r="Q94" s="28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</row>
    <row r="95" spans="2:223" ht="18" customHeight="1">
      <c r="B95" s="22">
        <f t="shared" si="13"/>
        <v>83</v>
      </c>
      <c r="C95" s="114"/>
      <c r="D95" s="131"/>
      <c r="E95" s="22"/>
      <c r="F95" s="83"/>
      <c r="G95" s="106"/>
      <c r="H95" s="83"/>
      <c r="I95" s="141"/>
      <c r="J95" s="23"/>
      <c r="K95" s="24"/>
      <c r="L95" s="25"/>
      <c r="M95" s="23"/>
      <c r="N95" s="24"/>
      <c r="O95" s="26"/>
      <c r="P95" s="27" t="str">
        <f t="shared" si="19"/>
        <v/>
      </c>
      <c r="Q95" s="28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</row>
    <row r="96" spans="2:223" ht="18" customHeight="1">
      <c r="B96" s="22">
        <f t="shared" si="13"/>
        <v>84</v>
      </c>
      <c r="C96" s="114"/>
      <c r="D96" s="131"/>
      <c r="E96" s="83"/>
      <c r="F96" s="83"/>
      <c r="G96" s="106"/>
      <c r="H96" s="83"/>
      <c r="I96" s="111"/>
      <c r="J96" s="23"/>
      <c r="K96" s="24"/>
      <c r="L96" s="25"/>
      <c r="M96" s="23"/>
      <c r="N96" s="24"/>
      <c r="O96" s="26"/>
      <c r="P96" s="27" t="str">
        <f t="shared" si="19"/>
        <v/>
      </c>
      <c r="Q96" s="28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</row>
    <row r="97" spans="2:223" ht="18" customHeight="1">
      <c r="B97" s="22">
        <f t="shared" si="13"/>
        <v>85</v>
      </c>
      <c r="C97" s="22"/>
      <c r="D97" s="22"/>
      <c r="E97" s="83"/>
      <c r="F97" s="83"/>
      <c r="G97" s="106"/>
      <c r="H97" s="83"/>
      <c r="I97" s="111"/>
      <c r="J97" s="23"/>
      <c r="K97" s="24"/>
      <c r="L97" s="25"/>
      <c r="M97" s="23"/>
      <c r="N97" s="24"/>
      <c r="O97" s="26"/>
      <c r="P97" s="27" t="str">
        <f t="shared" si="19"/>
        <v/>
      </c>
      <c r="Q97" s="28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</row>
    <row r="98" spans="2:223" ht="18" customHeight="1">
      <c r="B98" s="22">
        <f t="shared" si="13"/>
        <v>86</v>
      </c>
      <c r="C98" s="22"/>
      <c r="D98" s="22"/>
      <c r="E98" s="83"/>
      <c r="F98" s="83"/>
      <c r="G98" s="106"/>
      <c r="H98" s="83"/>
      <c r="I98" s="111"/>
      <c r="J98" s="23"/>
      <c r="K98" s="24"/>
      <c r="L98" s="25"/>
      <c r="M98" s="23"/>
      <c r="N98" s="24"/>
      <c r="O98" s="26"/>
      <c r="P98" s="27" t="str">
        <f t="shared" si="19"/>
        <v/>
      </c>
      <c r="Q98" s="28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</row>
    <row r="99" spans="2:223" ht="18" customHeight="1">
      <c r="B99" s="22">
        <f t="shared" si="13"/>
        <v>87</v>
      </c>
      <c r="C99" s="22"/>
      <c r="D99" s="22"/>
      <c r="E99" s="83"/>
      <c r="F99" s="83"/>
      <c r="G99" s="106"/>
      <c r="H99" s="83"/>
      <c r="I99" s="111"/>
      <c r="J99" s="23"/>
      <c r="K99" s="24"/>
      <c r="L99" s="25"/>
      <c r="M99" s="23"/>
      <c r="N99" s="24"/>
      <c r="O99" s="26"/>
      <c r="P99" s="27" t="str">
        <f t="shared" si="19"/>
        <v/>
      </c>
      <c r="Q99" s="28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</row>
    <row r="100" spans="2:223" ht="18" customHeight="1">
      <c r="B100" s="22">
        <f t="shared" si="13"/>
        <v>88</v>
      </c>
      <c r="C100" s="22"/>
      <c r="D100" s="22"/>
      <c r="E100" s="83"/>
      <c r="F100" s="83"/>
      <c r="G100" s="106"/>
      <c r="H100" s="83"/>
      <c r="I100" s="111"/>
      <c r="J100" s="23"/>
      <c r="K100" s="24"/>
      <c r="L100" s="25"/>
      <c r="M100" s="23"/>
      <c r="N100" s="24"/>
      <c r="O100" s="26"/>
      <c r="P100" s="27" t="str">
        <f t="shared" si="19"/>
        <v/>
      </c>
      <c r="Q100" s="28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</row>
    <row r="101" spans="2:223" ht="18" customHeight="1">
      <c r="B101" s="22">
        <f t="shared" si="13"/>
        <v>89</v>
      </c>
      <c r="C101" s="22"/>
      <c r="D101" s="22"/>
      <c r="E101" s="83"/>
      <c r="F101" s="83"/>
      <c r="G101" s="106"/>
      <c r="H101" s="83"/>
      <c r="I101" s="111"/>
      <c r="J101" s="23"/>
      <c r="K101" s="24"/>
      <c r="L101" s="25"/>
      <c r="M101" s="23"/>
      <c r="N101" s="24"/>
      <c r="O101" s="26"/>
      <c r="P101" s="27" t="str">
        <f t="shared" si="19"/>
        <v/>
      </c>
      <c r="Q101" s="28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</row>
    <row r="102" spans="2:223" ht="18" customHeight="1">
      <c r="B102" s="22">
        <f t="shared" si="13"/>
        <v>90</v>
      </c>
      <c r="C102" s="22"/>
      <c r="D102" s="22"/>
      <c r="E102" s="83"/>
      <c r="F102" s="83"/>
      <c r="G102" s="106"/>
      <c r="H102" s="83"/>
      <c r="I102" s="111"/>
      <c r="J102" s="23"/>
      <c r="K102" s="24"/>
      <c r="L102" s="25"/>
      <c r="M102" s="23"/>
      <c r="N102" s="24"/>
      <c r="O102" s="26"/>
      <c r="P102" s="27" t="str">
        <f t="shared" si="19"/>
        <v/>
      </c>
      <c r="Q102" s="28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</row>
    <row r="103" spans="2:223" ht="18" customHeight="1">
      <c r="B103" s="22">
        <f t="shared" si="13"/>
        <v>91</v>
      </c>
      <c r="C103" s="22"/>
      <c r="D103" s="22"/>
      <c r="E103" s="83"/>
      <c r="F103" s="83"/>
      <c r="G103" s="106"/>
      <c r="H103" s="83"/>
      <c r="I103" s="111"/>
      <c r="J103" s="23"/>
      <c r="K103" s="24"/>
      <c r="L103" s="25"/>
      <c r="M103" s="23"/>
      <c r="N103" s="24"/>
      <c r="O103" s="26"/>
      <c r="P103" s="27" t="str">
        <f t="shared" si="19"/>
        <v/>
      </c>
      <c r="Q103" s="28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</row>
    <row r="104" spans="2:223" ht="18" customHeight="1">
      <c r="B104" s="22">
        <f t="shared" si="13"/>
        <v>92</v>
      </c>
      <c r="C104" s="22"/>
      <c r="D104" s="22"/>
      <c r="E104" s="83"/>
      <c r="F104" s="83"/>
      <c r="G104" s="106"/>
      <c r="H104" s="83"/>
      <c r="I104" s="111"/>
      <c r="J104" s="23"/>
      <c r="K104" s="24"/>
      <c r="L104" s="25"/>
      <c r="M104" s="23"/>
      <c r="N104" s="24"/>
      <c r="O104" s="26"/>
      <c r="P104" s="27" t="str">
        <f t="shared" si="19"/>
        <v/>
      </c>
      <c r="Q104" s="28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</row>
    <row r="105" spans="2:223" ht="18" customHeight="1">
      <c r="B105" s="22">
        <f t="shared" si="13"/>
        <v>93</v>
      </c>
      <c r="C105" s="22"/>
      <c r="D105" s="22"/>
      <c r="E105" s="83"/>
      <c r="F105" s="83"/>
      <c r="G105" s="106"/>
      <c r="H105" s="83"/>
      <c r="I105" s="111"/>
      <c r="J105" s="23"/>
      <c r="K105" s="24"/>
      <c r="L105" s="25"/>
      <c r="M105" s="23"/>
      <c r="N105" s="24"/>
      <c r="O105" s="26"/>
      <c r="P105" s="27" t="str">
        <f t="shared" si="19"/>
        <v/>
      </c>
      <c r="Q105" s="28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</row>
    <row r="106" spans="2:223" ht="18" customHeight="1">
      <c r="B106" s="22">
        <f t="shared" si="13"/>
        <v>94</v>
      </c>
      <c r="C106" s="22"/>
      <c r="D106" s="22"/>
      <c r="E106" s="83"/>
      <c r="F106" s="83"/>
      <c r="G106" s="106"/>
      <c r="H106" s="83"/>
      <c r="I106" s="111"/>
      <c r="J106" s="23"/>
      <c r="K106" s="24"/>
      <c r="L106" s="25"/>
      <c r="M106" s="23"/>
      <c r="N106" s="24"/>
      <c r="O106" s="26"/>
      <c r="P106" s="27" t="str">
        <f t="shared" si="19"/>
        <v/>
      </c>
      <c r="Q106" s="28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</row>
    <row r="107" spans="2:223" ht="18" customHeight="1">
      <c r="B107" s="22">
        <f t="shared" si="13"/>
        <v>95</v>
      </c>
      <c r="C107" s="22"/>
      <c r="D107" s="22"/>
      <c r="E107" s="83"/>
      <c r="F107" s="83"/>
      <c r="G107" s="106"/>
      <c r="H107" s="83"/>
      <c r="I107" s="111"/>
      <c r="J107" s="23"/>
      <c r="K107" s="24"/>
      <c r="L107" s="25"/>
      <c r="M107" s="23"/>
      <c r="N107" s="24"/>
      <c r="O107" s="26"/>
      <c r="P107" s="27" t="str">
        <f t="shared" si="19"/>
        <v/>
      </c>
      <c r="Q107" s="28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</row>
    <row r="108" spans="2:223" ht="18" customHeight="1">
      <c r="B108" s="22">
        <f t="shared" si="13"/>
        <v>96</v>
      </c>
      <c r="C108" s="22"/>
      <c r="D108" s="22"/>
      <c r="E108" s="83"/>
      <c r="F108" s="83"/>
      <c r="G108" s="106"/>
      <c r="H108" s="83"/>
      <c r="I108" s="111"/>
      <c r="J108" s="23"/>
      <c r="K108" s="24"/>
      <c r="L108" s="25"/>
      <c r="M108" s="23"/>
      <c r="N108" s="24"/>
      <c r="O108" s="26"/>
      <c r="P108" s="27" t="str">
        <f t="shared" si="19"/>
        <v/>
      </c>
      <c r="Q108" s="28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</row>
    <row r="109" spans="2:223" ht="18" customHeight="1">
      <c r="B109" s="22">
        <f t="shared" ref="B109:B169" si="20">ROW()-ROW($B$12)</f>
        <v>97</v>
      </c>
      <c r="C109" s="22"/>
      <c r="D109" s="22"/>
      <c r="E109" s="83"/>
      <c r="F109" s="83"/>
      <c r="G109" s="106"/>
      <c r="H109" s="83"/>
      <c r="I109" s="111"/>
      <c r="J109" s="23"/>
      <c r="K109" s="24"/>
      <c r="L109" s="25"/>
      <c r="M109" s="23"/>
      <c r="N109" s="24"/>
      <c r="O109" s="26"/>
      <c r="P109" s="27" t="str">
        <f t="shared" ref="P109:P140" si="21">IF(AND(ISNUMBER(M109),ISNUMBER(N109)),N109-M109+1,IF(OR(ISBLANK(J109),ISBLANK(K109)),"",K109-J109+1))</f>
        <v/>
      </c>
      <c r="Q109" s="28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</row>
    <row r="110" spans="2:223" ht="18" customHeight="1">
      <c r="B110" s="22">
        <f t="shared" si="20"/>
        <v>98</v>
      </c>
      <c r="C110" s="22"/>
      <c r="D110" s="22"/>
      <c r="E110" s="83"/>
      <c r="F110" s="83"/>
      <c r="G110" s="106"/>
      <c r="H110" s="83"/>
      <c r="I110" s="111"/>
      <c r="J110" s="23"/>
      <c r="K110" s="24"/>
      <c r="L110" s="25"/>
      <c r="M110" s="23"/>
      <c r="N110" s="24"/>
      <c r="O110" s="26"/>
      <c r="P110" s="27" t="str">
        <f t="shared" si="21"/>
        <v/>
      </c>
      <c r="Q110" s="28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</row>
    <row r="111" spans="2:223" ht="18" customHeight="1">
      <c r="B111" s="22">
        <f t="shared" si="20"/>
        <v>99</v>
      </c>
      <c r="C111" s="22"/>
      <c r="D111" s="22"/>
      <c r="E111" s="83"/>
      <c r="F111" s="83"/>
      <c r="G111" s="106"/>
      <c r="H111" s="83"/>
      <c r="I111" s="111"/>
      <c r="J111" s="23"/>
      <c r="K111" s="24"/>
      <c r="L111" s="25"/>
      <c r="M111" s="23"/>
      <c r="N111" s="24"/>
      <c r="O111" s="26"/>
      <c r="P111" s="27" t="str">
        <f t="shared" si="21"/>
        <v/>
      </c>
      <c r="Q111" s="28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</row>
    <row r="112" spans="2:223" ht="18" customHeight="1">
      <c r="B112" s="22">
        <f t="shared" si="20"/>
        <v>100</v>
      </c>
      <c r="C112" s="22"/>
      <c r="D112" s="22"/>
      <c r="E112" s="83"/>
      <c r="F112" s="83"/>
      <c r="G112" s="106"/>
      <c r="H112" s="83"/>
      <c r="I112" s="111"/>
      <c r="J112" s="23"/>
      <c r="K112" s="24"/>
      <c r="L112" s="25"/>
      <c r="M112" s="23"/>
      <c r="N112" s="24"/>
      <c r="O112" s="26"/>
      <c r="P112" s="27" t="str">
        <f t="shared" si="21"/>
        <v/>
      </c>
      <c r="Q112" s="28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</row>
    <row r="113" spans="2:223" ht="18" customHeight="1">
      <c r="B113" s="22">
        <f t="shared" si="20"/>
        <v>101</v>
      </c>
      <c r="C113" s="22"/>
      <c r="D113" s="22"/>
      <c r="E113" s="83"/>
      <c r="F113" s="83"/>
      <c r="G113" s="106"/>
      <c r="H113" s="83"/>
      <c r="I113" s="111"/>
      <c r="J113" s="23"/>
      <c r="K113" s="24"/>
      <c r="L113" s="25"/>
      <c r="M113" s="23"/>
      <c r="N113" s="24"/>
      <c r="O113" s="26"/>
      <c r="P113" s="27" t="str">
        <f t="shared" si="21"/>
        <v/>
      </c>
      <c r="Q113" s="28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</row>
    <row r="114" spans="2:223" ht="18" customHeight="1">
      <c r="B114" s="22">
        <f t="shared" si="20"/>
        <v>102</v>
      </c>
      <c r="E114" s="83"/>
      <c r="F114" s="83"/>
      <c r="G114" s="106"/>
      <c r="H114" s="83"/>
      <c r="I114" s="111"/>
      <c r="J114" s="23"/>
      <c r="K114" s="24"/>
      <c r="L114" s="25"/>
      <c r="M114" s="23"/>
      <c r="N114" s="24"/>
      <c r="O114" s="26"/>
      <c r="P114" s="27" t="str">
        <f t="shared" si="21"/>
        <v/>
      </c>
      <c r="Q114" s="28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</row>
    <row r="115" spans="2:223" ht="18" customHeight="1">
      <c r="B115" s="22">
        <f t="shared" si="20"/>
        <v>103</v>
      </c>
      <c r="C115" s="22"/>
      <c r="D115" s="22"/>
      <c r="E115" s="83"/>
      <c r="F115" s="83"/>
      <c r="G115" s="106"/>
      <c r="H115" s="83"/>
      <c r="I115" s="111"/>
      <c r="J115" s="23"/>
      <c r="K115" s="24"/>
      <c r="L115" s="25"/>
      <c r="M115" s="23"/>
      <c r="N115" s="24"/>
      <c r="O115" s="26"/>
      <c r="P115" s="27" t="str">
        <f t="shared" si="21"/>
        <v/>
      </c>
      <c r="Q115" s="28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</row>
    <row r="116" spans="2:223" ht="18" customHeight="1">
      <c r="B116" s="22">
        <f t="shared" si="20"/>
        <v>104</v>
      </c>
      <c r="C116" s="22"/>
      <c r="D116" s="22"/>
      <c r="E116" s="83"/>
      <c r="F116" s="83"/>
      <c r="G116" s="106"/>
      <c r="H116" s="83"/>
      <c r="I116" s="111"/>
      <c r="J116" s="23"/>
      <c r="K116" s="24"/>
      <c r="L116" s="25"/>
      <c r="M116" s="23"/>
      <c r="N116" s="24"/>
      <c r="O116" s="26"/>
      <c r="P116" s="27" t="str">
        <f t="shared" si="21"/>
        <v/>
      </c>
      <c r="Q116" s="28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</row>
    <row r="117" spans="2:223" ht="18" customHeight="1">
      <c r="B117" s="22">
        <f t="shared" si="20"/>
        <v>105</v>
      </c>
      <c r="C117" s="22"/>
      <c r="D117" s="22"/>
      <c r="E117" s="83"/>
      <c r="F117" s="83"/>
      <c r="G117" s="106"/>
      <c r="H117" s="83"/>
      <c r="I117" s="111"/>
      <c r="J117" s="23"/>
      <c r="K117" s="24"/>
      <c r="L117" s="25"/>
      <c r="M117" s="23"/>
      <c r="N117" s="24"/>
      <c r="O117" s="26"/>
      <c r="P117" s="27" t="str">
        <f t="shared" si="21"/>
        <v/>
      </c>
      <c r="Q117" s="28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</row>
    <row r="118" spans="2:223" ht="18" customHeight="1">
      <c r="B118" s="22">
        <f t="shared" si="20"/>
        <v>106</v>
      </c>
      <c r="C118" s="22"/>
      <c r="D118" s="22"/>
      <c r="E118" s="22"/>
      <c r="F118" s="22"/>
      <c r="G118" s="106"/>
      <c r="H118" s="83"/>
      <c r="I118" s="111"/>
      <c r="J118" s="23"/>
      <c r="K118" s="24"/>
      <c r="L118" s="25"/>
      <c r="M118" s="23"/>
      <c r="N118" s="24"/>
      <c r="O118" s="26"/>
      <c r="P118" s="27" t="str">
        <f t="shared" si="21"/>
        <v/>
      </c>
      <c r="Q118" s="28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</row>
    <row r="119" spans="2:223" ht="18" customHeight="1">
      <c r="B119" s="22">
        <f t="shared" si="20"/>
        <v>107</v>
      </c>
      <c r="C119" s="22"/>
      <c r="D119" s="22"/>
      <c r="E119" s="83"/>
      <c r="F119" s="83"/>
      <c r="G119" s="106"/>
      <c r="H119" s="83"/>
      <c r="I119" s="111"/>
      <c r="J119" s="23"/>
      <c r="K119" s="24"/>
      <c r="L119" s="25"/>
      <c r="M119" s="23"/>
      <c r="N119" s="24"/>
      <c r="O119" s="26"/>
      <c r="P119" s="27" t="str">
        <f t="shared" si="21"/>
        <v/>
      </c>
      <c r="Q119" s="28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</row>
    <row r="120" spans="2:223" ht="18" customHeight="1">
      <c r="B120" s="22">
        <f t="shared" si="20"/>
        <v>108</v>
      </c>
      <c r="C120" s="22"/>
      <c r="D120" s="22"/>
      <c r="E120" s="83"/>
      <c r="F120" s="83"/>
      <c r="G120" s="106"/>
      <c r="H120" s="83"/>
      <c r="I120" s="111"/>
      <c r="J120" s="23"/>
      <c r="K120" s="24"/>
      <c r="L120" s="25"/>
      <c r="M120" s="23"/>
      <c r="N120" s="24"/>
      <c r="O120" s="26"/>
      <c r="P120" s="27" t="str">
        <f t="shared" si="21"/>
        <v/>
      </c>
      <c r="Q120" s="28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</row>
    <row r="121" spans="2:223" ht="18" customHeight="1">
      <c r="B121" s="22">
        <f t="shared" si="20"/>
        <v>109</v>
      </c>
      <c r="C121" s="22"/>
      <c r="D121" s="22"/>
      <c r="E121" s="83"/>
      <c r="F121" s="83"/>
      <c r="G121" s="106"/>
      <c r="H121" s="83"/>
      <c r="I121" s="111"/>
      <c r="J121" s="23"/>
      <c r="K121" s="24"/>
      <c r="L121" s="25"/>
      <c r="M121" s="23"/>
      <c r="N121" s="24"/>
      <c r="O121" s="26"/>
      <c r="P121" s="27" t="str">
        <f t="shared" si="21"/>
        <v/>
      </c>
      <c r="Q121" s="28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</row>
    <row r="122" spans="2:223" ht="18" customHeight="1">
      <c r="B122" s="22">
        <f t="shared" si="20"/>
        <v>110</v>
      </c>
      <c r="C122" s="22"/>
      <c r="D122" s="22"/>
      <c r="E122" s="83"/>
      <c r="F122" s="83"/>
      <c r="H122" s="83"/>
      <c r="I122" s="111"/>
      <c r="J122" s="23"/>
      <c r="K122" s="24"/>
      <c r="L122" s="25"/>
      <c r="M122" s="23"/>
      <c r="N122" s="24"/>
      <c r="O122" s="26"/>
      <c r="P122" s="27" t="str">
        <f t="shared" si="21"/>
        <v/>
      </c>
      <c r="Q122" s="28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</row>
    <row r="123" spans="2:223" ht="18" customHeight="1">
      <c r="B123" s="22">
        <f t="shared" si="20"/>
        <v>111</v>
      </c>
      <c r="C123" s="22"/>
      <c r="D123" s="22"/>
      <c r="E123" s="22"/>
      <c r="F123" s="22"/>
      <c r="G123" s="106"/>
      <c r="H123" s="83"/>
      <c r="I123" s="111"/>
      <c r="J123" s="23"/>
      <c r="K123" s="24"/>
      <c r="L123" s="25"/>
      <c r="M123" s="23"/>
      <c r="N123" s="24"/>
      <c r="O123" s="26"/>
      <c r="P123" s="27" t="str">
        <f t="shared" si="21"/>
        <v/>
      </c>
      <c r="Q123" s="28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</row>
    <row r="124" spans="2:223" ht="18" customHeight="1">
      <c r="B124" s="22">
        <f t="shared" si="20"/>
        <v>112</v>
      </c>
      <c r="C124" s="22"/>
      <c r="D124" s="22"/>
      <c r="E124" s="22"/>
      <c r="F124" s="22"/>
      <c r="G124" s="106"/>
      <c r="H124" s="83"/>
      <c r="I124" s="111"/>
      <c r="J124" s="23"/>
      <c r="K124" s="24"/>
      <c r="L124" s="25"/>
      <c r="M124" s="23"/>
      <c r="N124" s="24"/>
      <c r="O124" s="26"/>
      <c r="P124" s="27" t="str">
        <f t="shared" si="21"/>
        <v/>
      </c>
      <c r="Q124" s="28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</row>
    <row r="125" spans="2:223" ht="18" customHeight="1">
      <c r="B125" s="22">
        <f t="shared" si="20"/>
        <v>113</v>
      </c>
      <c r="C125" s="22"/>
      <c r="D125" s="22"/>
      <c r="E125" s="22"/>
      <c r="F125" s="22"/>
      <c r="G125" s="106"/>
      <c r="H125" s="83"/>
      <c r="I125" s="111"/>
      <c r="J125" s="23"/>
      <c r="K125" s="24"/>
      <c r="L125" s="25"/>
      <c r="M125" s="23"/>
      <c r="N125" s="24"/>
      <c r="O125" s="26"/>
      <c r="P125" s="27" t="str">
        <f t="shared" si="21"/>
        <v/>
      </c>
      <c r="Q125" s="28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</row>
    <row r="126" spans="2:223" ht="18" customHeight="1">
      <c r="B126" s="22">
        <f t="shared" si="20"/>
        <v>114</v>
      </c>
      <c r="C126" s="22"/>
      <c r="D126" s="22"/>
      <c r="E126" s="22"/>
      <c r="F126" s="22"/>
      <c r="G126" s="106"/>
      <c r="H126" s="83"/>
      <c r="I126" s="111"/>
      <c r="J126" s="23"/>
      <c r="K126" s="24"/>
      <c r="L126" s="25"/>
      <c r="M126" s="23"/>
      <c r="N126" s="24"/>
      <c r="O126" s="26"/>
      <c r="P126" s="27" t="str">
        <f t="shared" si="21"/>
        <v/>
      </c>
      <c r="Q126" s="28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</row>
    <row r="127" spans="2:223" ht="18" customHeight="1">
      <c r="B127" s="22">
        <f t="shared" si="20"/>
        <v>115</v>
      </c>
      <c r="C127" s="22"/>
      <c r="D127" s="22"/>
      <c r="E127" s="22"/>
      <c r="F127" s="22"/>
      <c r="G127" s="106"/>
      <c r="H127" s="83"/>
      <c r="I127" s="111"/>
      <c r="J127" s="23"/>
      <c r="K127" s="24"/>
      <c r="L127" s="25"/>
      <c r="M127" s="23"/>
      <c r="N127" s="24"/>
      <c r="O127" s="26"/>
      <c r="P127" s="27" t="str">
        <f t="shared" si="21"/>
        <v/>
      </c>
      <c r="Q127" s="28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</row>
    <row r="128" spans="2:223" ht="18" customHeight="1">
      <c r="B128" s="22">
        <f t="shared" si="20"/>
        <v>116</v>
      </c>
      <c r="C128" s="22"/>
      <c r="D128" s="22"/>
      <c r="E128" s="22"/>
      <c r="F128" s="22"/>
      <c r="G128" s="106"/>
      <c r="H128" s="83"/>
      <c r="I128" s="111"/>
      <c r="J128" s="23"/>
      <c r="K128" s="24"/>
      <c r="L128" s="25"/>
      <c r="M128" s="23"/>
      <c r="N128" s="24"/>
      <c r="O128" s="26"/>
      <c r="P128" s="27" t="str">
        <f t="shared" si="21"/>
        <v/>
      </c>
      <c r="Q128" s="28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</row>
    <row r="129" spans="2:223" ht="18" customHeight="1">
      <c r="B129" s="22">
        <f t="shared" si="20"/>
        <v>117</v>
      </c>
      <c r="C129" s="22"/>
      <c r="D129" s="22"/>
      <c r="E129" s="22"/>
      <c r="F129" s="22"/>
      <c r="G129" s="106"/>
      <c r="H129" s="83"/>
      <c r="I129" s="111"/>
      <c r="J129" s="23"/>
      <c r="K129" s="24"/>
      <c r="L129" s="25"/>
      <c r="M129" s="23"/>
      <c r="N129" s="24"/>
      <c r="O129" s="26"/>
      <c r="P129" s="27" t="str">
        <f t="shared" si="21"/>
        <v/>
      </c>
      <c r="Q129" s="28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</row>
    <row r="130" spans="2:223" ht="18" customHeight="1">
      <c r="B130" s="22">
        <f t="shared" si="20"/>
        <v>118</v>
      </c>
      <c r="C130" s="22"/>
      <c r="D130" s="22"/>
      <c r="E130" s="22"/>
      <c r="F130" s="22"/>
      <c r="G130" s="106"/>
      <c r="H130" s="83"/>
      <c r="I130" s="111"/>
      <c r="J130" s="23"/>
      <c r="K130" s="24"/>
      <c r="L130" s="25"/>
      <c r="M130" s="23"/>
      <c r="N130" s="24"/>
      <c r="O130" s="26"/>
      <c r="P130" s="27" t="str">
        <f t="shared" si="21"/>
        <v/>
      </c>
      <c r="Q130" s="28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</row>
    <row r="131" spans="2:223" ht="18" customHeight="1">
      <c r="B131" s="22">
        <f t="shared" si="20"/>
        <v>119</v>
      </c>
      <c r="C131" s="22"/>
      <c r="D131" s="22"/>
      <c r="E131" s="22"/>
      <c r="F131" s="22"/>
      <c r="G131" s="106"/>
      <c r="H131" s="83"/>
      <c r="I131" s="111"/>
      <c r="J131" s="23"/>
      <c r="K131" s="24"/>
      <c r="L131" s="25"/>
      <c r="M131" s="23"/>
      <c r="N131" s="24"/>
      <c r="O131" s="26"/>
      <c r="P131" s="27" t="str">
        <f t="shared" si="21"/>
        <v/>
      </c>
      <c r="Q131" s="28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</row>
    <row r="132" spans="2:223" ht="18" customHeight="1">
      <c r="B132" s="22">
        <f t="shared" si="20"/>
        <v>120</v>
      </c>
      <c r="C132" s="22"/>
      <c r="D132" s="22"/>
      <c r="E132" s="22"/>
      <c r="F132" s="22"/>
      <c r="G132" s="106"/>
      <c r="H132" s="83"/>
      <c r="I132" s="111"/>
      <c r="J132" s="23"/>
      <c r="K132" s="24"/>
      <c r="L132" s="25"/>
      <c r="M132" s="23"/>
      <c r="N132" s="24"/>
      <c r="O132" s="26"/>
      <c r="P132" s="27" t="str">
        <f t="shared" si="21"/>
        <v/>
      </c>
      <c r="Q132" s="28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</row>
    <row r="133" spans="2:223" ht="18" customHeight="1">
      <c r="B133" s="22">
        <f t="shared" si="20"/>
        <v>121</v>
      </c>
      <c r="C133" s="22"/>
      <c r="D133" s="22"/>
      <c r="E133" s="83"/>
      <c r="F133" s="83"/>
      <c r="G133" s="106"/>
      <c r="H133" s="83"/>
      <c r="I133" s="111"/>
      <c r="J133" s="23"/>
      <c r="K133" s="24"/>
      <c r="L133" s="25"/>
      <c r="M133" s="23"/>
      <c r="N133" s="24"/>
      <c r="O133" s="26"/>
      <c r="P133" s="27" t="str">
        <f t="shared" si="21"/>
        <v/>
      </c>
      <c r="Q133" s="28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</row>
    <row r="134" spans="2:223" ht="18" customHeight="1">
      <c r="B134" s="22">
        <f t="shared" si="20"/>
        <v>122</v>
      </c>
      <c r="C134" s="22"/>
      <c r="D134" s="22"/>
      <c r="E134" s="83"/>
      <c r="F134" s="83"/>
      <c r="G134" s="106"/>
      <c r="H134" s="83"/>
      <c r="I134" s="111"/>
      <c r="J134" s="23"/>
      <c r="K134" s="24"/>
      <c r="L134" s="25"/>
      <c r="M134" s="23"/>
      <c r="N134" s="24"/>
      <c r="O134" s="26"/>
      <c r="P134" s="27" t="str">
        <f t="shared" si="21"/>
        <v/>
      </c>
      <c r="Q134" s="28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</row>
    <row r="135" spans="2:223" ht="18" customHeight="1">
      <c r="B135" s="22">
        <f t="shared" si="20"/>
        <v>123</v>
      </c>
      <c r="C135" s="22"/>
      <c r="D135" s="22"/>
      <c r="E135" s="83"/>
      <c r="F135" s="83"/>
      <c r="G135" s="106"/>
      <c r="H135" s="83"/>
      <c r="I135" s="111"/>
      <c r="J135" s="23"/>
      <c r="K135" s="24"/>
      <c r="L135" s="25"/>
      <c r="M135" s="23"/>
      <c r="N135" s="24"/>
      <c r="O135" s="26"/>
      <c r="P135" s="27" t="str">
        <f t="shared" si="21"/>
        <v/>
      </c>
      <c r="Q135" s="28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</row>
    <row r="136" spans="2:223" ht="18" customHeight="1">
      <c r="B136" s="22">
        <f t="shared" si="20"/>
        <v>124</v>
      </c>
      <c r="C136" s="22"/>
      <c r="D136" s="22"/>
      <c r="E136" s="83"/>
      <c r="F136" s="83"/>
      <c r="G136" s="106"/>
      <c r="H136" s="83"/>
      <c r="I136" s="111"/>
      <c r="J136" s="23"/>
      <c r="K136" s="24"/>
      <c r="L136" s="25"/>
      <c r="M136" s="23"/>
      <c r="N136" s="24"/>
      <c r="O136" s="26"/>
      <c r="P136" s="27" t="str">
        <f t="shared" si="21"/>
        <v/>
      </c>
      <c r="Q136" s="28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</row>
    <row r="137" spans="2:223" ht="18" customHeight="1">
      <c r="B137" s="22">
        <f t="shared" si="20"/>
        <v>125</v>
      </c>
      <c r="C137" s="22"/>
      <c r="D137" s="22"/>
      <c r="E137" s="83"/>
      <c r="F137" s="83"/>
      <c r="G137" s="106"/>
      <c r="H137" s="83"/>
      <c r="I137" s="111"/>
      <c r="J137" s="23"/>
      <c r="K137" s="24"/>
      <c r="L137" s="25"/>
      <c r="M137" s="23"/>
      <c r="N137" s="24"/>
      <c r="O137" s="26"/>
      <c r="P137" s="27" t="str">
        <f t="shared" si="21"/>
        <v/>
      </c>
      <c r="Q137" s="28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</row>
    <row r="138" spans="2:223" ht="18" customHeight="1">
      <c r="B138" s="22">
        <f t="shared" si="20"/>
        <v>126</v>
      </c>
      <c r="C138" s="22"/>
      <c r="D138" s="22"/>
      <c r="E138" s="83"/>
      <c r="F138" s="83"/>
      <c r="G138" s="106"/>
      <c r="H138" s="83"/>
      <c r="I138" s="111"/>
      <c r="J138" s="23"/>
      <c r="K138" s="24"/>
      <c r="L138" s="25"/>
      <c r="M138" s="23"/>
      <c r="N138" s="24"/>
      <c r="O138" s="26"/>
      <c r="P138" s="27" t="str">
        <f t="shared" si="21"/>
        <v/>
      </c>
      <c r="Q138" s="28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</row>
    <row r="139" spans="2:223" ht="18" customHeight="1">
      <c r="B139" s="22">
        <f t="shared" si="20"/>
        <v>127</v>
      </c>
      <c r="C139" s="22"/>
      <c r="D139" s="22"/>
      <c r="E139" s="83"/>
      <c r="F139" s="83"/>
      <c r="G139" s="106"/>
      <c r="H139" s="83"/>
      <c r="I139" s="111"/>
      <c r="J139" s="23"/>
      <c r="K139" s="24"/>
      <c r="L139" s="25"/>
      <c r="M139" s="23"/>
      <c r="N139" s="24"/>
      <c r="O139" s="26"/>
      <c r="P139" s="27" t="str">
        <f t="shared" si="21"/>
        <v/>
      </c>
      <c r="Q139" s="28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</row>
    <row r="140" spans="2:223" ht="18" customHeight="1">
      <c r="B140" s="22">
        <f t="shared" si="20"/>
        <v>128</v>
      </c>
      <c r="C140" s="22"/>
      <c r="D140" s="22"/>
      <c r="E140" s="83"/>
      <c r="F140" s="83"/>
      <c r="G140" s="106"/>
      <c r="H140" s="83"/>
      <c r="I140" s="111"/>
      <c r="J140" s="23"/>
      <c r="K140" s="24"/>
      <c r="L140" s="25"/>
      <c r="M140" s="23"/>
      <c r="N140" s="24"/>
      <c r="O140" s="26"/>
      <c r="P140" s="27" t="str">
        <f t="shared" si="21"/>
        <v/>
      </c>
      <c r="Q140" s="28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</row>
    <row r="141" spans="2:223" ht="18" customHeight="1">
      <c r="B141" s="22">
        <f t="shared" si="20"/>
        <v>129</v>
      </c>
      <c r="C141" s="22"/>
      <c r="D141" s="22"/>
      <c r="E141" s="83"/>
      <c r="F141" s="83"/>
      <c r="G141" s="106"/>
      <c r="H141" s="83"/>
      <c r="I141" s="111"/>
      <c r="J141" s="23"/>
      <c r="K141" s="24"/>
      <c r="L141" s="25"/>
      <c r="M141" s="23"/>
      <c r="N141" s="24"/>
      <c r="O141" s="26"/>
      <c r="P141" s="27" t="str">
        <f t="shared" ref="P141:P169" si="22">IF(AND(ISNUMBER(M141),ISNUMBER(N141)),N141-M141+1,IF(OR(ISBLANK(J141),ISBLANK(K141)),"",K141-J141+1))</f>
        <v/>
      </c>
      <c r="Q141" s="28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</row>
    <row r="142" spans="2:223" ht="18" customHeight="1">
      <c r="B142" s="22">
        <f t="shared" si="20"/>
        <v>130</v>
      </c>
      <c r="C142" s="22"/>
      <c r="D142" s="22"/>
      <c r="E142" s="83"/>
      <c r="F142" s="83"/>
      <c r="G142" s="106"/>
      <c r="H142" s="83"/>
      <c r="I142" s="111"/>
      <c r="J142" s="23"/>
      <c r="K142" s="24"/>
      <c r="L142" s="25"/>
      <c r="M142" s="23"/>
      <c r="N142" s="24"/>
      <c r="O142" s="26"/>
      <c r="P142" s="27" t="str">
        <f t="shared" si="22"/>
        <v/>
      </c>
      <c r="Q142" s="28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</row>
    <row r="143" spans="2:223" ht="18" customHeight="1">
      <c r="B143" s="22">
        <f t="shared" si="20"/>
        <v>131</v>
      </c>
      <c r="C143" s="22"/>
      <c r="D143" s="22"/>
      <c r="E143" s="83"/>
      <c r="F143" s="83"/>
      <c r="G143" s="106"/>
      <c r="H143" s="83"/>
      <c r="I143" s="111"/>
      <c r="J143" s="23"/>
      <c r="K143" s="24"/>
      <c r="L143" s="25"/>
      <c r="M143" s="23"/>
      <c r="N143" s="24"/>
      <c r="O143" s="26"/>
      <c r="P143" s="27" t="str">
        <f t="shared" si="22"/>
        <v/>
      </c>
      <c r="Q143" s="28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</row>
    <row r="144" spans="2:223" ht="18" customHeight="1">
      <c r="B144" s="22">
        <f t="shared" si="20"/>
        <v>132</v>
      </c>
      <c r="C144" s="22"/>
      <c r="D144" s="22"/>
      <c r="E144" s="83"/>
      <c r="F144" s="83"/>
      <c r="G144" s="106"/>
      <c r="H144" s="83"/>
      <c r="I144" s="111"/>
      <c r="J144" s="23"/>
      <c r="K144" s="24"/>
      <c r="L144" s="25"/>
      <c r="M144" s="23"/>
      <c r="N144" s="24"/>
      <c r="O144" s="26"/>
      <c r="P144" s="27" t="str">
        <f t="shared" si="22"/>
        <v/>
      </c>
      <c r="Q144" s="28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</row>
    <row r="145" spans="2:223" ht="18" customHeight="1">
      <c r="B145" s="22">
        <f t="shared" si="20"/>
        <v>133</v>
      </c>
      <c r="C145" s="22"/>
      <c r="D145" s="22"/>
      <c r="E145" s="83"/>
      <c r="F145" s="83"/>
      <c r="G145" s="106"/>
      <c r="H145" s="83"/>
      <c r="I145" s="111"/>
      <c r="J145" s="23"/>
      <c r="K145" s="24"/>
      <c r="L145" s="25"/>
      <c r="M145" s="23"/>
      <c r="N145" s="24"/>
      <c r="O145" s="26"/>
      <c r="P145" s="27" t="str">
        <f t="shared" si="22"/>
        <v/>
      </c>
      <c r="Q145" s="28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</row>
    <row r="146" spans="2:223" ht="18" customHeight="1">
      <c r="B146" s="22">
        <f t="shared" si="20"/>
        <v>134</v>
      </c>
      <c r="C146" s="22"/>
      <c r="D146" s="22"/>
      <c r="E146" s="83"/>
      <c r="F146" s="83"/>
      <c r="G146" s="106"/>
      <c r="H146" s="83"/>
      <c r="I146" s="111"/>
      <c r="J146" s="23"/>
      <c r="K146" s="24"/>
      <c r="L146" s="25"/>
      <c r="M146" s="23"/>
      <c r="N146" s="24"/>
      <c r="O146" s="26"/>
      <c r="P146" s="27" t="str">
        <f t="shared" si="22"/>
        <v/>
      </c>
      <c r="Q146" s="28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</row>
    <row r="147" spans="2:223" ht="18" customHeight="1">
      <c r="B147" s="22">
        <f t="shared" si="20"/>
        <v>135</v>
      </c>
      <c r="C147" s="22"/>
      <c r="D147" s="22"/>
      <c r="E147" s="83"/>
      <c r="F147" s="83"/>
      <c r="G147" s="106"/>
      <c r="H147" s="83"/>
      <c r="I147" s="111"/>
      <c r="J147" s="23"/>
      <c r="K147" s="24"/>
      <c r="L147" s="25"/>
      <c r="M147" s="23"/>
      <c r="N147" s="24"/>
      <c r="O147" s="26"/>
      <c r="P147" s="27" t="str">
        <f t="shared" si="22"/>
        <v/>
      </c>
      <c r="Q147" s="28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</row>
    <row r="148" spans="2:223" ht="18" customHeight="1">
      <c r="B148" s="22">
        <f t="shared" si="20"/>
        <v>136</v>
      </c>
      <c r="C148" s="22"/>
      <c r="D148" s="22"/>
      <c r="E148" s="83"/>
      <c r="F148" s="83"/>
      <c r="G148" s="106"/>
      <c r="H148" s="83"/>
      <c r="I148" s="111"/>
      <c r="J148" s="23"/>
      <c r="K148" s="24"/>
      <c r="L148" s="25"/>
      <c r="M148" s="23"/>
      <c r="N148" s="24"/>
      <c r="O148" s="26"/>
      <c r="P148" s="27" t="str">
        <f t="shared" si="22"/>
        <v/>
      </c>
      <c r="Q148" s="28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</row>
    <row r="149" spans="2:223" ht="18" customHeight="1">
      <c r="B149" s="22">
        <f t="shared" si="20"/>
        <v>137</v>
      </c>
      <c r="C149" s="22"/>
      <c r="D149" s="22"/>
      <c r="E149" s="83"/>
      <c r="F149" s="83"/>
      <c r="G149" s="106"/>
      <c r="H149" s="83"/>
      <c r="I149" s="111"/>
      <c r="J149" s="23"/>
      <c r="K149" s="24"/>
      <c r="L149" s="25"/>
      <c r="M149" s="23"/>
      <c r="N149" s="24"/>
      <c r="O149" s="26"/>
      <c r="P149" s="27" t="str">
        <f t="shared" si="22"/>
        <v/>
      </c>
      <c r="Q149" s="28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</row>
    <row r="150" spans="2:223" ht="18" customHeight="1">
      <c r="B150" s="22">
        <f t="shared" si="20"/>
        <v>138</v>
      </c>
      <c r="C150" s="22"/>
      <c r="D150" s="22"/>
      <c r="E150" s="83"/>
      <c r="F150" s="83"/>
      <c r="G150" s="106"/>
      <c r="H150" s="83"/>
      <c r="I150" s="111"/>
      <c r="J150" s="23"/>
      <c r="K150" s="24"/>
      <c r="L150" s="25"/>
      <c r="M150" s="23"/>
      <c r="N150" s="24"/>
      <c r="O150" s="26"/>
      <c r="P150" s="27" t="str">
        <f t="shared" si="22"/>
        <v/>
      </c>
      <c r="Q150" s="28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</row>
    <row r="151" spans="2:223" ht="18" customHeight="1">
      <c r="B151" s="22">
        <f t="shared" si="20"/>
        <v>139</v>
      </c>
      <c r="C151" s="22"/>
      <c r="D151" s="22"/>
      <c r="E151" s="83"/>
      <c r="F151" s="83"/>
      <c r="G151" s="106"/>
      <c r="H151" s="83"/>
      <c r="I151" s="111"/>
      <c r="J151" s="23"/>
      <c r="K151" s="24"/>
      <c r="L151" s="25"/>
      <c r="M151" s="23"/>
      <c r="N151" s="24"/>
      <c r="O151" s="26"/>
      <c r="P151" s="27" t="str">
        <f t="shared" si="22"/>
        <v/>
      </c>
      <c r="Q151" s="28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</row>
    <row r="152" spans="2:223" ht="18" customHeight="1">
      <c r="B152" s="22">
        <f t="shared" si="20"/>
        <v>140</v>
      </c>
      <c r="C152" s="22"/>
      <c r="D152" s="22"/>
      <c r="E152" s="83"/>
      <c r="F152" s="83"/>
      <c r="G152" s="106"/>
      <c r="H152" s="83"/>
      <c r="I152" s="111"/>
      <c r="J152" s="23"/>
      <c r="K152" s="24"/>
      <c r="L152" s="25"/>
      <c r="M152" s="23"/>
      <c r="N152" s="24"/>
      <c r="O152" s="26"/>
      <c r="P152" s="27" t="str">
        <f t="shared" si="22"/>
        <v/>
      </c>
      <c r="Q152" s="28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</row>
    <row r="153" spans="2:223" ht="18" customHeight="1">
      <c r="B153" s="22">
        <f t="shared" si="20"/>
        <v>141</v>
      </c>
      <c r="C153" s="22"/>
      <c r="D153" s="22"/>
      <c r="E153" s="83"/>
      <c r="F153" s="83"/>
      <c r="G153" s="106"/>
      <c r="H153" s="83"/>
      <c r="I153" s="111"/>
      <c r="J153" s="23"/>
      <c r="K153" s="24"/>
      <c r="L153" s="25"/>
      <c r="M153" s="23"/>
      <c r="N153" s="24"/>
      <c r="O153" s="26"/>
      <c r="P153" s="27" t="str">
        <f t="shared" si="22"/>
        <v/>
      </c>
      <c r="Q153" s="28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</row>
    <row r="154" spans="2:223" ht="18" customHeight="1">
      <c r="B154" s="22">
        <f t="shared" si="20"/>
        <v>142</v>
      </c>
      <c r="C154" s="22"/>
      <c r="D154" s="22"/>
      <c r="E154" s="83"/>
      <c r="F154" s="83"/>
      <c r="G154" s="106"/>
      <c r="H154" s="83"/>
      <c r="I154" s="111"/>
      <c r="J154" s="23"/>
      <c r="K154" s="24"/>
      <c r="L154" s="25"/>
      <c r="M154" s="23"/>
      <c r="N154" s="24"/>
      <c r="O154" s="26"/>
      <c r="P154" s="27" t="str">
        <f t="shared" si="22"/>
        <v/>
      </c>
      <c r="Q154" s="28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</row>
    <row r="155" spans="2:223" ht="18" customHeight="1">
      <c r="B155" s="22">
        <f t="shared" si="20"/>
        <v>143</v>
      </c>
      <c r="C155" s="22"/>
      <c r="D155" s="22"/>
      <c r="E155" s="83"/>
      <c r="F155" s="83"/>
      <c r="G155" s="106"/>
      <c r="H155" s="83"/>
      <c r="I155" s="111"/>
      <c r="J155" s="23"/>
      <c r="K155" s="24"/>
      <c r="L155" s="25"/>
      <c r="M155" s="23"/>
      <c r="N155" s="24"/>
      <c r="O155" s="26"/>
      <c r="P155" s="27" t="str">
        <f t="shared" si="22"/>
        <v/>
      </c>
      <c r="Q155" s="28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</row>
    <row r="156" spans="2:223" ht="18" customHeight="1">
      <c r="B156" s="22">
        <f t="shared" si="20"/>
        <v>144</v>
      </c>
      <c r="C156" s="22"/>
      <c r="D156" s="22"/>
      <c r="E156" s="83"/>
      <c r="F156" s="83"/>
      <c r="G156" s="106"/>
      <c r="H156" s="83"/>
      <c r="I156" s="111"/>
      <c r="J156" s="23"/>
      <c r="K156" s="24"/>
      <c r="L156" s="25"/>
      <c r="M156" s="23"/>
      <c r="N156" s="24"/>
      <c r="O156" s="26"/>
      <c r="P156" s="27" t="str">
        <f t="shared" si="22"/>
        <v/>
      </c>
      <c r="Q156" s="28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</row>
    <row r="157" spans="2:223" ht="18" customHeight="1">
      <c r="B157" s="22">
        <f t="shared" si="20"/>
        <v>145</v>
      </c>
      <c r="C157" s="22"/>
      <c r="D157" s="22"/>
      <c r="E157" s="83"/>
      <c r="F157" s="83"/>
      <c r="G157" s="106"/>
      <c r="H157" s="83"/>
      <c r="I157" s="111"/>
      <c r="J157" s="23"/>
      <c r="K157" s="24"/>
      <c r="L157" s="25"/>
      <c r="M157" s="23"/>
      <c r="N157" s="24"/>
      <c r="O157" s="26"/>
      <c r="P157" s="27" t="str">
        <f t="shared" si="22"/>
        <v/>
      </c>
      <c r="Q157" s="28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</row>
    <row r="158" spans="2:223" ht="18" customHeight="1">
      <c r="B158" s="22">
        <f t="shared" si="20"/>
        <v>146</v>
      </c>
      <c r="C158" s="22"/>
      <c r="D158" s="22"/>
      <c r="E158" s="83"/>
      <c r="F158" s="83"/>
      <c r="G158" s="106"/>
      <c r="H158" s="83"/>
      <c r="I158" s="111"/>
      <c r="J158" s="23"/>
      <c r="K158" s="24"/>
      <c r="L158" s="25"/>
      <c r="M158" s="23"/>
      <c r="N158" s="24"/>
      <c r="O158" s="26"/>
      <c r="P158" s="27" t="str">
        <f t="shared" si="22"/>
        <v/>
      </c>
      <c r="Q158" s="28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</row>
    <row r="159" spans="2:223" ht="18" customHeight="1">
      <c r="B159" s="22">
        <f t="shared" si="20"/>
        <v>147</v>
      </c>
      <c r="C159" s="22"/>
      <c r="D159" s="22"/>
      <c r="E159" s="83"/>
      <c r="F159" s="83"/>
      <c r="G159" s="106"/>
      <c r="H159" s="83"/>
      <c r="I159" s="111"/>
      <c r="J159" s="23"/>
      <c r="K159" s="24"/>
      <c r="L159" s="25"/>
      <c r="M159" s="23"/>
      <c r="N159" s="24"/>
      <c r="O159" s="26"/>
      <c r="P159" s="27" t="str">
        <f t="shared" si="22"/>
        <v/>
      </c>
      <c r="Q159" s="28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</row>
    <row r="160" spans="2:223" ht="18" customHeight="1">
      <c r="B160" s="22">
        <f t="shared" si="20"/>
        <v>148</v>
      </c>
      <c r="C160" s="22"/>
      <c r="D160" s="22"/>
      <c r="E160" s="83"/>
      <c r="F160" s="83"/>
      <c r="G160" s="106"/>
      <c r="H160" s="83"/>
      <c r="I160" s="111"/>
      <c r="J160" s="23"/>
      <c r="K160" s="24"/>
      <c r="L160" s="25"/>
      <c r="M160" s="23"/>
      <c r="N160" s="24"/>
      <c r="O160" s="26"/>
      <c r="P160" s="27" t="str">
        <f t="shared" si="22"/>
        <v/>
      </c>
      <c r="Q160" s="28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</row>
    <row r="161" spans="2:223" ht="18" customHeight="1">
      <c r="B161" s="22">
        <f t="shared" si="20"/>
        <v>149</v>
      </c>
      <c r="C161" s="22"/>
      <c r="D161" s="22"/>
      <c r="E161" s="83"/>
      <c r="F161" s="83"/>
      <c r="G161" s="106"/>
      <c r="H161" s="83"/>
      <c r="I161" s="111"/>
      <c r="J161" s="23"/>
      <c r="K161" s="24"/>
      <c r="L161" s="25"/>
      <c r="M161" s="23"/>
      <c r="N161" s="24"/>
      <c r="O161" s="26"/>
      <c r="P161" s="27" t="str">
        <f t="shared" si="22"/>
        <v/>
      </c>
      <c r="Q161" s="28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</row>
    <row r="162" spans="2:223" ht="18" customHeight="1">
      <c r="B162" s="22">
        <f t="shared" si="20"/>
        <v>150</v>
      </c>
      <c r="C162" s="22"/>
      <c r="D162" s="22"/>
      <c r="E162" s="83"/>
      <c r="F162" s="83"/>
      <c r="G162" s="106"/>
      <c r="H162" s="83"/>
      <c r="I162" s="111"/>
      <c r="J162" s="23"/>
      <c r="K162" s="24"/>
      <c r="L162" s="25"/>
      <c r="M162" s="23"/>
      <c r="N162" s="24"/>
      <c r="O162" s="26"/>
      <c r="P162" s="27" t="str">
        <f t="shared" si="22"/>
        <v/>
      </c>
      <c r="Q162" s="28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</row>
    <row r="163" spans="2:223" ht="18" customHeight="1">
      <c r="B163" s="22">
        <f t="shared" si="20"/>
        <v>151</v>
      </c>
      <c r="C163" s="22"/>
      <c r="D163" s="22"/>
      <c r="E163" s="83"/>
      <c r="F163" s="83"/>
      <c r="G163" s="106"/>
      <c r="H163" s="83"/>
      <c r="I163" s="111"/>
      <c r="J163" s="23"/>
      <c r="K163" s="24"/>
      <c r="L163" s="25"/>
      <c r="M163" s="23"/>
      <c r="N163" s="24"/>
      <c r="O163" s="26"/>
      <c r="P163" s="27" t="str">
        <f t="shared" si="22"/>
        <v/>
      </c>
      <c r="Q163" s="28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</row>
    <row r="164" spans="2:223" ht="18" customHeight="1">
      <c r="B164" s="22">
        <f t="shared" si="20"/>
        <v>152</v>
      </c>
      <c r="C164" s="22"/>
      <c r="D164" s="22"/>
      <c r="E164" s="83"/>
      <c r="F164" s="83"/>
      <c r="G164" s="106"/>
      <c r="H164" s="83"/>
      <c r="I164" s="111"/>
      <c r="J164" s="23"/>
      <c r="K164" s="24"/>
      <c r="L164" s="25"/>
      <c r="M164" s="23"/>
      <c r="N164" s="24"/>
      <c r="O164" s="26"/>
      <c r="P164" s="27" t="str">
        <f t="shared" si="22"/>
        <v/>
      </c>
      <c r="Q164" s="28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</row>
    <row r="165" spans="2:223" ht="18" customHeight="1">
      <c r="B165" s="22">
        <f t="shared" si="20"/>
        <v>153</v>
      </c>
      <c r="C165" s="22"/>
      <c r="D165" s="22"/>
      <c r="E165" s="83"/>
      <c r="F165" s="83"/>
      <c r="G165" s="106"/>
      <c r="H165" s="83"/>
      <c r="I165" s="111"/>
      <c r="J165" s="23"/>
      <c r="K165" s="24"/>
      <c r="L165" s="25"/>
      <c r="M165" s="23"/>
      <c r="N165" s="24"/>
      <c r="O165" s="26"/>
      <c r="P165" s="27" t="str">
        <f t="shared" si="22"/>
        <v/>
      </c>
      <c r="Q165" s="28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</row>
    <row r="166" spans="2:223" ht="18" customHeight="1">
      <c r="B166" s="22">
        <f t="shared" si="20"/>
        <v>154</v>
      </c>
      <c r="C166" s="22"/>
      <c r="D166" s="22"/>
      <c r="E166" s="83"/>
      <c r="F166" s="83"/>
      <c r="G166" s="106"/>
      <c r="H166" s="83"/>
      <c r="I166" s="111"/>
      <c r="J166" s="23"/>
      <c r="K166" s="24"/>
      <c r="L166" s="25"/>
      <c r="M166" s="23"/>
      <c r="N166" s="24"/>
      <c r="O166" s="26"/>
      <c r="P166" s="27" t="str">
        <f t="shared" si="22"/>
        <v/>
      </c>
      <c r="Q166" s="28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</row>
    <row r="167" spans="2:223" ht="18" customHeight="1">
      <c r="B167" s="22">
        <f t="shared" si="20"/>
        <v>155</v>
      </c>
      <c r="C167" s="22"/>
      <c r="D167" s="22"/>
      <c r="E167" s="83"/>
      <c r="F167" s="83"/>
      <c r="G167" s="106"/>
      <c r="H167" s="83"/>
      <c r="I167" s="111"/>
      <c r="J167" s="23"/>
      <c r="K167" s="24"/>
      <c r="L167" s="25"/>
      <c r="M167" s="23"/>
      <c r="N167" s="24"/>
      <c r="O167" s="26"/>
      <c r="P167" s="27" t="str">
        <f t="shared" si="22"/>
        <v/>
      </c>
      <c r="Q167" s="28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</row>
    <row r="168" spans="2:223" ht="18" customHeight="1">
      <c r="B168" s="22">
        <f t="shared" si="20"/>
        <v>156</v>
      </c>
      <c r="C168" s="22"/>
      <c r="D168" s="22"/>
      <c r="E168" s="83"/>
      <c r="F168" s="83"/>
      <c r="G168" s="106"/>
      <c r="H168" s="83"/>
      <c r="I168" s="111"/>
      <c r="J168" s="23"/>
      <c r="K168" s="24"/>
      <c r="L168" s="25"/>
      <c r="M168" s="23"/>
      <c r="N168" s="24"/>
      <c r="O168" s="26"/>
      <c r="P168" s="27" t="str">
        <f t="shared" si="22"/>
        <v/>
      </c>
      <c r="Q168" s="28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</row>
    <row r="169" spans="2:223" ht="18" customHeight="1">
      <c r="B169" s="22">
        <f t="shared" si="20"/>
        <v>157</v>
      </c>
      <c r="C169" s="22"/>
      <c r="D169" s="22"/>
      <c r="E169" s="83"/>
      <c r="F169" s="83"/>
      <c r="G169" s="106"/>
      <c r="H169" s="83"/>
      <c r="I169" s="111"/>
      <c r="J169" s="23"/>
      <c r="K169" s="24"/>
      <c r="L169" s="25"/>
      <c r="M169" s="23"/>
      <c r="N169" s="24"/>
      <c r="O169" s="26"/>
      <c r="P169" s="27" t="str">
        <f t="shared" si="22"/>
        <v/>
      </c>
      <c r="Q169" s="28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</row>
    <row r="170" spans="2:223" ht="18" customHeight="1">
      <c r="B170" s="22"/>
      <c r="C170" s="22"/>
      <c r="D170" s="22"/>
      <c r="E170" s="83"/>
      <c r="F170" s="83"/>
      <c r="G170" s="106"/>
      <c r="H170" s="83"/>
      <c r="I170" s="111"/>
      <c r="J170" s="23"/>
      <c r="K170" s="24"/>
      <c r="L170" s="25"/>
      <c r="M170" s="23"/>
      <c r="N170" s="24"/>
      <c r="O170" s="26"/>
      <c r="P170" s="27" t="str">
        <f t="shared" ref="P170:P223" si="23">IF(AND(ISNUMBER(M170),ISNUMBER(N170)),N170-M170+1,IF(OR(ISBLANK(J170),ISBLANK(K170)),"",K170-J170+1))</f>
        <v/>
      </c>
      <c r="Q170" s="28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</row>
    <row r="171" spans="2:223" ht="18" customHeight="1">
      <c r="B171" s="22"/>
      <c r="C171" s="22"/>
      <c r="D171" s="22"/>
      <c r="E171" s="83"/>
      <c r="F171" s="83"/>
      <c r="G171" s="106"/>
      <c r="H171" s="83"/>
      <c r="I171" s="111"/>
      <c r="J171" s="23"/>
      <c r="K171" s="24"/>
      <c r="L171" s="25"/>
      <c r="M171" s="23"/>
      <c r="N171" s="24"/>
      <c r="O171" s="26"/>
      <c r="P171" s="27" t="str">
        <f t="shared" si="23"/>
        <v/>
      </c>
      <c r="Q171" s="28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</row>
    <row r="172" spans="2:223" ht="18" customHeight="1">
      <c r="B172" s="22"/>
      <c r="C172" s="22"/>
      <c r="D172" s="22"/>
      <c r="E172" s="83"/>
      <c r="F172" s="83"/>
      <c r="G172" s="106"/>
      <c r="H172" s="83"/>
      <c r="I172" s="111"/>
      <c r="J172" s="23"/>
      <c r="K172" s="24"/>
      <c r="L172" s="25"/>
      <c r="M172" s="23"/>
      <c r="N172" s="24"/>
      <c r="O172" s="26"/>
      <c r="P172" s="27" t="str">
        <f t="shared" si="23"/>
        <v/>
      </c>
      <c r="Q172" s="28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</row>
    <row r="173" spans="2:223" ht="18" customHeight="1">
      <c r="B173" s="22"/>
      <c r="C173" s="22"/>
      <c r="D173" s="22"/>
      <c r="E173" s="83"/>
      <c r="F173" s="83"/>
      <c r="G173" s="106"/>
      <c r="H173" s="83"/>
      <c r="I173" s="111"/>
      <c r="J173" s="23"/>
      <c r="K173" s="24"/>
      <c r="L173" s="25"/>
      <c r="M173" s="23"/>
      <c r="N173" s="24"/>
      <c r="O173" s="26"/>
      <c r="P173" s="27" t="str">
        <f t="shared" si="23"/>
        <v/>
      </c>
      <c r="Q173" s="28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</row>
    <row r="174" spans="2:223" ht="18" customHeight="1">
      <c r="B174" s="22"/>
      <c r="C174" s="22"/>
      <c r="D174" s="22"/>
      <c r="E174" s="83"/>
      <c r="F174" s="83"/>
      <c r="G174" s="106"/>
      <c r="H174" s="83"/>
      <c r="I174" s="111"/>
      <c r="J174" s="23"/>
      <c r="K174" s="24"/>
      <c r="L174" s="25"/>
      <c r="M174" s="23"/>
      <c r="N174" s="24"/>
      <c r="O174" s="26"/>
      <c r="P174" s="27" t="str">
        <f t="shared" si="23"/>
        <v/>
      </c>
      <c r="Q174" s="28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</row>
    <row r="175" spans="2:223" ht="18" customHeight="1">
      <c r="B175" s="22"/>
      <c r="C175" s="22"/>
      <c r="D175" s="22"/>
      <c r="E175" s="83"/>
      <c r="F175" s="83"/>
      <c r="G175" s="106"/>
      <c r="H175" s="83"/>
      <c r="I175" s="111"/>
      <c r="J175" s="23"/>
      <c r="K175" s="24"/>
      <c r="L175" s="25"/>
      <c r="M175" s="23"/>
      <c r="N175" s="24"/>
      <c r="O175" s="26"/>
      <c r="P175" s="27" t="str">
        <f t="shared" si="23"/>
        <v/>
      </c>
      <c r="Q175" s="28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</row>
    <row r="176" spans="2:223" ht="18" customHeight="1">
      <c r="B176" s="22"/>
      <c r="C176" s="22"/>
      <c r="D176" s="22"/>
      <c r="E176" s="83"/>
      <c r="F176" s="83"/>
      <c r="G176" s="106"/>
      <c r="H176" s="83"/>
      <c r="I176" s="111"/>
      <c r="J176" s="23"/>
      <c r="K176" s="24"/>
      <c r="L176" s="25"/>
      <c r="M176" s="23"/>
      <c r="N176" s="24"/>
      <c r="O176" s="26"/>
      <c r="P176" s="27" t="str">
        <f t="shared" si="23"/>
        <v/>
      </c>
      <c r="Q176" s="28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</row>
    <row r="177" spans="2:223" ht="18" customHeight="1">
      <c r="B177" s="22"/>
      <c r="C177" s="22"/>
      <c r="D177" s="22"/>
      <c r="E177" s="83"/>
      <c r="F177" s="83"/>
      <c r="G177" s="106"/>
      <c r="H177" s="83"/>
      <c r="I177" s="111"/>
      <c r="J177" s="23"/>
      <c r="K177" s="24"/>
      <c r="L177" s="25"/>
      <c r="M177" s="23"/>
      <c r="N177" s="24"/>
      <c r="O177" s="26"/>
      <c r="P177" s="27" t="str">
        <f t="shared" si="23"/>
        <v/>
      </c>
      <c r="Q177" s="28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</row>
    <row r="178" spans="2:223" ht="18" customHeight="1">
      <c r="B178" s="22"/>
      <c r="C178" s="22"/>
      <c r="D178" s="22"/>
      <c r="E178" s="83"/>
      <c r="F178" s="83"/>
      <c r="G178" s="106"/>
      <c r="H178" s="83"/>
      <c r="I178" s="111"/>
      <c r="J178" s="23"/>
      <c r="K178" s="24"/>
      <c r="L178" s="25"/>
      <c r="M178" s="23"/>
      <c r="N178" s="24"/>
      <c r="O178" s="26"/>
      <c r="P178" s="27" t="str">
        <f t="shared" si="23"/>
        <v/>
      </c>
      <c r="Q178" s="28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</row>
    <row r="179" spans="2:223" ht="18" customHeight="1">
      <c r="B179" s="22"/>
      <c r="C179" s="22"/>
      <c r="D179" s="22"/>
      <c r="E179" s="83"/>
      <c r="F179" s="83"/>
      <c r="G179" s="106"/>
      <c r="H179" s="83"/>
      <c r="I179" s="111"/>
      <c r="J179" s="23"/>
      <c r="K179" s="24"/>
      <c r="L179" s="25"/>
      <c r="M179" s="23"/>
      <c r="N179" s="24"/>
      <c r="O179" s="26"/>
      <c r="P179" s="27" t="str">
        <f t="shared" si="23"/>
        <v/>
      </c>
      <c r="Q179" s="28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</row>
    <row r="180" spans="2:223" ht="18" customHeight="1">
      <c r="B180" s="22"/>
      <c r="C180" s="22"/>
      <c r="D180" s="22"/>
      <c r="E180" s="83"/>
      <c r="F180" s="83"/>
      <c r="G180" s="106"/>
      <c r="H180" s="83"/>
      <c r="I180" s="111"/>
      <c r="J180" s="23"/>
      <c r="K180" s="24"/>
      <c r="L180" s="25"/>
      <c r="M180" s="23"/>
      <c r="N180" s="24"/>
      <c r="O180" s="26"/>
      <c r="P180" s="27" t="str">
        <f t="shared" si="23"/>
        <v/>
      </c>
      <c r="Q180" s="28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</row>
    <row r="181" spans="2:223" ht="18" customHeight="1">
      <c r="B181" s="22"/>
      <c r="C181" s="22"/>
      <c r="D181" s="22"/>
      <c r="E181" s="83"/>
      <c r="F181" s="83"/>
      <c r="G181" s="106"/>
      <c r="H181" s="83"/>
      <c r="I181" s="111"/>
      <c r="J181" s="23"/>
      <c r="K181" s="24"/>
      <c r="L181" s="25"/>
      <c r="M181" s="23"/>
      <c r="N181" s="24"/>
      <c r="O181" s="26"/>
      <c r="P181" s="27" t="str">
        <f t="shared" si="23"/>
        <v/>
      </c>
      <c r="Q181" s="28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</row>
    <row r="182" spans="2:223" ht="18" customHeight="1">
      <c r="B182" s="22"/>
      <c r="C182" s="22"/>
      <c r="D182" s="22"/>
      <c r="E182" s="83"/>
      <c r="F182" s="83"/>
      <c r="G182" s="106"/>
      <c r="H182" s="83"/>
      <c r="I182" s="111"/>
      <c r="J182" s="23"/>
      <c r="K182" s="24"/>
      <c r="L182" s="25"/>
      <c r="M182" s="23"/>
      <c r="N182" s="24"/>
      <c r="O182" s="26"/>
      <c r="P182" s="27" t="str">
        <f t="shared" si="23"/>
        <v/>
      </c>
      <c r="Q182" s="28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</row>
    <row r="183" spans="2:223" ht="18" customHeight="1">
      <c r="B183" s="22"/>
      <c r="C183" s="22"/>
      <c r="D183" s="22"/>
      <c r="E183" s="83"/>
      <c r="F183" s="83"/>
      <c r="G183" s="106"/>
      <c r="H183" s="83"/>
      <c r="I183" s="111"/>
      <c r="J183" s="23"/>
      <c r="K183" s="24"/>
      <c r="L183" s="25"/>
      <c r="M183" s="23"/>
      <c r="N183" s="24"/>
      <c r="O183" s="26"/>
      <c r="P183" s="27" t="str">
        <f t="shared" si="23"/>
        <v/>
      </c>
      <c r="Q183" s="28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</row>
    <row r="184" spans="2:223" ht="18" customHeight="1">
      <c r="B184" s="22"/>
      <c r="C184" s="22"/>
      <c r="D184" s="22"/>
      <c r="E184" s="83"/>
      <c r="F184" s="83"/>
      <c r="G184" s="106"/>
      <c r="H184" s="83"/>
      <c r="I184" s="111"/>
      <c r="J184" s="23"/>
      <c r="K184" s="24"/>
      <c r="L184" s="25"/>
      <c r="M184" s="23"/>
      <c r="N184" s="24"/>
      <c r="O184" s="26"/>
      <c r="P184" s="27" t="str">
        <f t="shared" si="23"/>
        <v/>
      </c>
      <c r="Q184" s="28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</row>
    <row r="185" spans="2:223" ht="18" customHeight="1">
      <c r="B185" s="22"/>
      <c r="C185" s="22"/>
      <c r="D185" s="22"/>
      <c r="E185" s="83"/>
      <c r="F185" s="83"/>
      <c r="G185" s="106"/>
      <c r="H185" s="83"/>
      <c r="I185" s="111"/>
      <c r="J185" s="23"/>
      <c r="K185" s="24"/>
      <c r="L185" s="25"/>
      <c r="M185" s="23"/>
      <c r="N185" s="24"/>
      <c r="O185" s="26"/>
      <c r="P185" s="27" t="str">
        <f t="shared" si="23"/>
        <v/>
      </c>
      <c r="Q185" s="28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</row>
    <row r="186" spans="2:223" ht="18" customHeight="1">
      <c r="B186" s="22"/>
      <c r="C186" s="22"/>
      <c r="D186" s="22"/>
      <c r="E186" s="83"/>
      <c r="F186" s="83"/>
      <c r="G186" s="106"/>
      <c r="H186" s="83"/>
      <c r="I186" s="111"/>
      <c r="J186" s="23"/>
      <c r="K186" s="24"/>
      <c r="L186" s="25"/>
      <c r="M186" s="23"/>
      <c r="N186" s="24"/>
      <c r="O186" s="26"/>
      <c r="P186" s="27" t="str">
        <f t="shared" si="23"/>
        <v/>
      </c>
      <c r="Q186" s="28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</row>
    <row r="187" spans="2:223" ht="18" customHeight="1">
      <c r="B187" s="22"/>
      <c r="C187" s="22"/>
      <c r="D187" s="22"/>
      <c r="E187" s="83"/>
      <c r="F187" s="83"/>
      <c r="G187" s="106"/>
      <c r="H187" s="83"/>
      <c r="I187" s="111"/>
      <c r="J187" s="23"/>
      <c r="K187" s="24"/>
      <c r="L187" s="25"/>
      <c r="M187" s="23"/>
      <c r="N187" s="24"/>
      <c r="O187" s="26"/>
      <c r="P187" s="27" t="str">
        <f t="shared" si="23"/>
        <v/>
      </c>
      <c r="Q187" s="28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</row>
    <row r="188" spans="2:223" ht="18" customHeight="1">
      <c r="B188" s="22"/>
      <c r="C188" s="22"/>
      <c r="D188" s="22"/>
      <c r="E188" s="83"/>
      <c r="F188" s="83"/>
      <c r="G188" s="106"/>
      <c r="H188" s="83"/>
      <c r="I188" s="111"/>
      <c r="J188" s="23"/>
      <c r="K188" s="24"/>
      <c r="L188" s="25"/>
      <c r="M188" s="23"/>
      <c r="N188" s="24"/>
      <c r="O188" s="26"/>
      <c r="P188" s="27" t="str">
        <f t="shared" si="23"/>
        <v/>
      </c>
      <c r="Q188" s="28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</row>
    <row r="189" spans="2:223" ht="18" customHeight="1">
      <c r="B189" s="22"/>
      <c r="C189" s="22"/>
      <c r="D189" s="22"/>
      <c r="E189" s="83"/>
      <c r="F189" s="83"/>
      <c r="G189" s="106"/>
      <c r="H189" s="83"/>
      <c r="I189" s="111"/>
      <c r="J189" s="23"/>
      <c r="K189" s="24"/>
      <c r="L189" s="25"/>
      <c r="M189" s="23"/>
      <c r="N189" s="24"/>
      <c r="O189" s="26"/>
      <c r="P189" s="27" t="str">
        <f t="shared" si="23"/>
        <v/>
      </c>
      <c r="Q189" s="28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</row>
    <row r="190" spans="2:223" ht="18" customHeight="1">
      <c r="B190" s="22"/>
      <c r="C190" s="22"/>
      <c r="D190" s="22"/>
      <c r="E190" s="83"/>
      <c r="F190" s="83"/>
      <c r="G190" s="106"/>
      <c r="H190" s="83"/>
      <c r="I190" s="111"/>
      <c r="J190" s="23"/>
      <c r="K190" s="24"/>
      <c r="L190" s="25"/>
      <c r="M190" s="23"/>
      <c r="N190" s="24"/>
      <c r="O190" s="26"/>
      <c r="P190" s="27" t="str">
        <f t="shared" si="23"/>
        <v/>
      </c>
      <c r="Q190" s="28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</row>
    <row r="191" spans="2:223" ht="18" customHeight="1">
      <c r="B191" s="22"/>
      <c r="C191" s="22"/>
      <c r="D191" s="22"/>
      <c r="E191" s="83"/>
      <c r="F191" s="83"/>
      <c r="G191" s="106"/>
      <c r="H191" s="83"/>
      <c r="I191" s="111"/>
      <c r="J191" s="23"/>
      <c r="K191" s="24"/>
      <c r="L191" s="25"/>
      <c r="M191" s="23"/>
      <c r="N191" s="24"/>
      <c r="O191" s="26"/>
      <c r="P191" s="27" t="str">
        <f t="shared" si="23"/>
        <v/>
      </c>
      <c r="Q191" s="28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</row>
    <row r="192" spans="2:223" ht="18" customHeight="1">
      <c r="B192" s="22"/>
      <c r="C192" s="22"/>
      <c r="D192" s="22"/>
      <c r="E192" s="83"/>
      <c r="F192" s="83"/>
      <c r="G192" s="106"/>
      <c r="H192" s="83"/>
      <c r="I192" s="111"/>
      <c r="J192" s="23"/>
      <c r="K192" s="24"/>
      <c r="L192" s="25"/>
      <c r="M192" s="23"/>
      <c r="N192" s="24"/>
      <c r="O192" s="26"/>
      <c r="P192" s="27" t="str">
        <f t="shared" si="23"/>
        <v/>
      </c>
      <c r="Q192" s="28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</row>
    <row r="193" spans="2:223" ht="18" customHeight="1">
      <c r="B193" s="22"/>
      <c r="C193" s="22"/>
      <c r="D193" s="22"/>
      <c r="E193" s="83"/>
      <c r="F193" s="83"/>
      <c r="G193" s="106"/>
      <c r="H193" s="83"/>
      <c r="I193" s="111"/>
      <c r="J193" s="23"/>
      <c r="K193" s="24"/>
      <c r="L193" s="25"/>
      <c r="M193" s="23"/>
      <c r="N193" s="24"/>
      <c r="O193" s="26"/>
      <c r="P193" s="27" t="str">
        <f t="shared" si="23"/>
        <v/>
      </c>
      <c r="Q193" s="28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</row>
    <row r="194" spans="2:223" ht="18" customHeight="1">
      <c r="B194" s="22"/>
      <c r="C194" s="22"/>
      <c r="D194" s="22"/>
      <c r="E194" s="83"/>
      <c r="F194" s="83"/>
      <c r="G194" s="106"/>
      <c r="H194" s="83"/>
      <c r="I194" s="111"/>
      <c r="J194" s="23"/>
      <c r="K194" s="24"/>
      <c r="L194" s="25"/>
      <c r="M194" s="23"/>
      <c r="N194" s="24"/>
      <c r="O194" s="26"/>
      <c r="P194" s="27" t="str">
        <f t="shared" si="23"/>
        <v/>
      </c>
      <c r="Q194" s="28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</row>
    <row r="195" spans="2:223" ht="18" customHeight="1">
      <c r="B195" s="22"/>
      <c r="C195" s="22"/>
      <c r="D195" s="22"/>
      <c r="E195" s="83"/>
      <c r="F195" s="83"/>
      <c r="G195" s="106"/>
      <c r="H195" s="83"/>
      <c r="I195" s="111"/>
      <c r="J195" s="23"/>
      <c r="K195" s="24"/>
      <c r="L195" s="25"/>
      <c r="M195" s="23"/>
      <c r="N195" s="24"/>
      <c r="O195" s="26"/>
      <c r="P195" s="27" t="str">
        <f t="shared" si="23"/>
        <v/>
      </c>
      <c r="Q195" s="28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</row>
    <row r="196" spans="2:223" ht="18" customHeight="1">
      <c r="B196" s="22"/>
      <c r="C196" s="22"/>
      <c r="D196" s="22"/>
      <c r="E196" s="83"/>
      <c r="F196" s="83"/>
      <c r="G196" s="106"/>
      <c r="H196" s="83"/>
      <c r="I196" s="111"/>
      <c r="J196" s="23"/>
      <c r="K196" s="24"/>
      <c r="L196" s="25"/>
      <c r="M196" s="23"/>
      <c r="N196" s="24"/>
      <c r="O196" s="26"/>
      <c r="P196" s="27" t="str">
        <f t="shared" si="23"/>
        <v/>
      </c>
      <c r="Q196" s="28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</row>
    <row r="197" spans="2:223" ht="18" customHeight="1">
      <c r="B197" s="22"/>
      <c r="C197" s="22"/>
      <c r="D197" s="22"/>
      <c r="E197" s="83"/>
      <c r="F197" s="83"/>
      <c r="G197" s="106"/>
      <c r="H197" s="83"/>
      <c r="I197" s="111"/>
      <c r="J197" s="23"/>
      <c r="K197" s="24"/>
      <c r="L197" s="25"/>
      <c r="M197" s="23"/>
      <c r="N197" s="24"/>
      <c r="O197" s="26"/>
      <c r="P197" s="27" t="str">
        <f t="shared" si="23"/>
        <v/>
      </c>
      <c r="Q197" s="28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</row>
    <row r="198" spans="2:223" ht="18" customHeight="1">
      <c r="B198" s="22"/>
      <c r="C198" s="22"/>
      <c r="D198" s="22"/>
      <c r="E198" s="83"/>
      <c r="F198" s="83"/>
      <c r="G198" s="106"/>
      <c r="H198" s="83"/>
      <c r="I198" s="111"/>
      <c r="J198" s="23"/>
      <c r="K198" s="24"/>
      <c r="L198" s="25"/>
      <c r="M198" s="23"/>
      <c r="N198" s="24"/>
      <c r="O198" s="26"/>
      <c r="P198" s="27" t="str">
        <f t="shared" si="23"/>
        <v/>
      </c>
      <c r="Q198" s="28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</row>
    <row r="199" spans="2:223" ht="18" customHeight="1">
      <c r="B199" s="22"/>
      <c r="C199" s="22"/>
      <c r="D199" s="22"/>
      <c r="E199" s="83"/>
      <c r="F199" s="83"/>
      <c r="G199" s="106"/>
      <c r="H199" s="83"/>
      <c r="I199" s="111"/>
      <c r="J199" s="23"/>
      <c r="K199" s="24"/>
      <c r="L199" s="25"/>
      <c r="M199" s="23"/>
      <c r="N199" s="24"/>
      <c r="O199" s="26"/>
      <c r="P199" s="27" t="str">
        <f t="shared" si="23"/>
        <v/>
      </c>
      <c r="Q199" s="28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</row>
    <row r="200" spans="2:223" ht="18" customHeight="1">
      <c r="B200" s="22"/>
      <c r="C200" s="22"/>
      <c r="D200" s="22"/>
      <c r="E200" s="83"/>
      <c r="F200" s="83"/>
      <c r="G200" s="106"/>
      <c r="H200" s="83"/>
      <c r="I200" s="111"/>
      <c r="J200" s="23"/>
      <c r="K200" s="24"/>
      <c r="L200" s="25"/>
      <c r="M200" s="23"/>
      <c r="N200" s="24"/>
      <c r="O200" s="26"/>
      <c r="P200" s="27" t="str">
        <f t="shared" si="23"/>
        <v/>
      </c>
      <c r="Q200" s="28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</row>
    <row r="201" spans="2:223" ht="18" customHeight="1">
      <c r="B201" s="22"/>
      <c r="C201" s="22"/>
      <c r="D201" s="22"/>
      <c r="E201" s="83"/>
      <c r="F201" s="83"/>
      <c r="G201" s="106"/>
      <c r="H201" s="83"/>
      <c r="I201" s="111"/>
      <c r="J201" s="23"/>
      <c r="K201" s="24"/>
      <c r="L201" s="25"/>
      <c r="M201" s="23"/>
      <c r="N201" s="24"/>
      <c r="O201" s="26"/>
      <c r="P201" s="27" t="str">
        <f t="shared" si="23"/>
        <v/>
      </c>
      <c r="Q201" s="28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</row>
    <row r="202" spans="2:223" ht="18" customHeight="1">
      <c r="B202" s="22"/>
      <c r="C202" s="22"/>
      <c r="D202" s="22"/>
      <c r="E202" s="83"/>
      <c r="F202" s="83"/>
      <c r="G202" s="106"/>
      <c r="H202" s="83"/>
      <c r="I202" s="111"/>
      <c r="J202" s="23"/>
      <c r="K202" s="24"/>
      <c r="L202" s="25"/>
      <c r="M202" s="23"/>
      <c r="N202" s="24"/>
      <c r="O202" s="26"/>
      <c r="P202" s="27" t="str">
        <f t="shared" si="23"/>
        <v/>
      </c>
      <c r="Q202" s="28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</row>
    <row r="203" spans="2:223" ht="18" customHeight="1">
      <c r="B203" s="22"/>
      <c r="C203" s="22"/>
      <c r="D203" s="22"/>
      <c r="E203" s="83"/>
      <c r="F203" s="83"/>
      <c r="G203" s="106"/>
      <c r="H203" s="83"/>
      <c r="I203" s="111"/>
      <c r="J203" s="23"/>
      <c r="K203" s="24"/>
      <c r="L203" s="25"/>
      <c r="M203" s="23"/>
      <c r="N203" s="24"/>
      <c r="O203" s="26"/>
      <c r="P203" s="27" t="str">
        <f t="shared" si="23"/>
        <v/>
      </c>
      <c r="Q203" s="28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</row>
    <row r="204" spans="2:223" ht="18" customHeight="1">
      <c r="B204" s="22"/>
      <c r="C204" s="22"/>
      <c r="D204" s="22"/>
      <c r="E204" s="83"/>
      <c r="F204" s="83"/>
      <c r="G204" s="106"/>
      <c r="H204" s="83"/>
      <c r="I204" s="111"/>
      <c r="J204" s="23"/>
      <c r="K204" s="24"/>
      <c r="L204" s="25"/>
      <c r="M204" s="23"/>
      <c r="N204" s="24"/>
      <c r="O204" s="26"/>
      <c r="P204" s="27" t="str">
        <f t="shared" si="23"/>
        <v/>
      </c>
      <c r="Q204" s="28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</row>
    <row r="205" spans="2:223" ht="18" customHeight="1">
      <c r="B205" s="22"/>
      <c r="C205" s="22"/>
      <c r="D205" s="22"/>
      <c r="E205" s="83"/>
      <c r="F205" s="83"/>
      <c r="G205" s="106"/>
      <c r="H205" s="83"/>
      <c r="I205" s="111"/>
      <c r="J205" s="23"/>
      <c r="K205" s="24"/>
      <c r="L205" s="25"/>
      <c r="M205" s="23"/>
      <c r="N205" s="24"/>
      <c r="O205" s="26"/>
      <c r="P205" s="27" t="str">
        <f t="shared" si="23"/>
        <v/>
      </c>
      <c r="Q205" s="28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</row>
    <row r="206" spans="2:223" ht="18" customHeight="1">
      <c r="B206" s="22"/>
      <c r="C206" s="22"/>
      <c r="D206" s="22"/>
      <c r="E206" s="83"/>
      <c r="F206" s="83"/>
      <c r="G206" s="106"/>
      <c r="H206" s="83"/>
      <c r="I206" s="111"/>
      <c r="J206" s="23"/>
      <c r="K206" s="24"/>
      <c r="L206" s="25"/>
      <c r="M206" s="23"/>
      <c r="N206" s="24"/>
      <c r="O206" s="26"/>
      <c r="P206" s="27" t="str">
        <f t="shared" si="23"/>
        <v/>
      </c>
      <c r="Q206" s="28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</row>
    <row r="207" spans="2:223" ht="18" customHeight="1">
      <c r="B207" s="22"/>
      <c r="C207" s="22"/>
      <c r="D207" s="22"/>
      <c r="E207" s="83"/>
      <c r="F207" s="83"/>
      <c r="G207" s="106"/>
      <c r="H207" s="83"/>
      <c r="I207" s="111"/>
      <c r="J207" s="23"/>
      <c r="K207" s="24"/>
      <c r="L207" s="25"/>
      <c r="M207" s="23"/>
      <c r="N207" s="24"/>
      <c r="O207" s="26"/>
      <c r="P207" s="27" t="str">
        <f t="shared" si="23"/>
        <v/>
      </c>
      <c r="Q207" s="28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</row>
    <row r="208" spans="2:223" ht="18" customHeight="1">
      <c r="B208" s="22"/>
      <c r="C208" s="22"/>
      <c r="D208" s="22"/>
      <c r="E208" s="83"/>
      <c r="F208" s="83"/>
      <c r="G208" s="106"/>
      <c r="H208" s="83"/>
      <c r="I208" s="111"/>
      <c r="J208" s="23"/>
      <c r="K208" s="24"/>
      <c r="L208" s="25"/>
      <c r="M208" s="23"/>
      <c r="N208" s="24"/>
      <c r="O208" s="26"/>
      <c r="P208" s="27" t="str">
        <f t="shared" si="23"/>
        <v/>
      </c>
      <c r="Q208" s="28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</row>
    <row r="209" spans="2:223" ht="18" customHeight="1">
      <c r="B209" s="22"/>
      <c r="C209" s="22"/>
      <c r="D209" s="22"/>
      <c r="E209" s="83"/>
      <c r="F209" s="83"/>
      <c r="G209" s="106"/>
      <c r="H209" s="83"/>
      <c r="I209" s="111"/>
      <c r="J209" s="23"/>
      <c r="K209" s="24"/>
      <c r="L209" s="25"/>
      <c r="M209" s="23"/>
      <c r="N209" s="24"/>
      <c r="O209" s="26"/>
      <c r="P209" s="27" t="str">
        <f t="shared" si="23"/>
        <v/>
      </c>
      <c r="Q209" s="28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</row>
    <row r="210" spans="2:223" ht="18" customHeight="1">
      <c r="B210" s="22"/>
      <c r="C210" s="22"/>
      <c r="D210" s="22"/>
      <c r="E210" s="83"/>
      <c r="F210" s="83"/>
      <c r="G210" s="106"/>
      <c r="H210" s="83"/>
      <c r="I210" s="111"/>
      <c r="J210" s="23"/>
      <c r="K210" s="24"/>
      <c r="L210" s="25"/>
      <c r="M210" s="23"/>
      <c r="N210" s="24"/>
      <c r="O210" s="26"/>
      <c r="P210" s="27" t="str">
        <f t="shared" si="23"/>
        <v/>
      </c>
      <c r="Q210" s="28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</row>
    <row r="211" spans="2:223" ht="18" customHeight="1">
      <c r="B211" s="22"/>
      <c r="C211" s="22"/>
      <c r="D211" s="22"/>
      <c r="E211" s="83"/>
      <c r="F211" s="83"/>
      <c r="G211" s="106"/>
      <c r="H211" s="83"/>
      <c r="I211" s="111"/>
      <c r="J211" s="23"/>
      <c r="K211" s="24"/>
      <c r="L211" s="25"/>
      <c r="M211" s="23"/>
      <c r="N211" s="24"/>
      <c r="O211" s="26"/>
      <c r="P211" s="27" t="str">
        <f t="shared" si="23"/>
        <v/>
      </c>
      <c r="Q211" s="28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</row>
    <row r="212" spans="2:223" ht="18" customHeight="1">
      <c r="B212" s="22"/>
      <c r="C212" s="22"/>
      <c r="D212" s="22"/>
      <c r="E212" s="83"/>
      <c r="F212" s="83"/>
      <c r="G212" s="106"/>
      <c r="H212" s="83"/>
      <c r="I212" s="111"/>
      <c r="J212" s="23"/>
      <c r="K212" s="24"/>
      <c r="L212" s="25"/>
      <c r="M212" s="23"/>
      <c r="N212" s="24"/>
      <c r="O212" s="26"/>
      <c r="P212" s="27" t="str">
        <f t="shared" si="23"/>
        <v/>
      </c>
      <c r="Q212" s="28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</row>
    <row r="213" spans="2:223" ht="18" customHeight="1">
      <c r="B213" s="22"/>
      <c r="C213" s="22"/>
      <c r="D213" s="22"/>
      <c r="E213" s="83"/>
      <c r="F213" s="83"/>
      <c r="G213" s="106"/>
      <c r="H213" s="83"/>
      <c r="I213" s="111"/>
      <c r="J213" s="23"/>
      <c r="K213" s="24"/>
      <c r="L213" s="25"/>
      <c r="M213" s="23"/>
      <c r="N213" s="24"/>
      <c r="O213" s="26"/>
      <c r="P213" s="27" t="str">
        <f t="shared" si="23"/>
        <v/>
      </c>
      <c r="Q213" s="28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</row>
    <row r="214" spans="2:223" ht="18" customHeight="1">
      <c r="B214" s="22"/>
      <c r="C214" s="22"/>
      <c r="D214" s="22"/>
      <c r="E214" s="83"/>
      <c r="F214" s="83"/>
      <c r="G214" s="106"/>
      <c r="H214" s="83"/>
      <c r="I214" s="111"/>
      <c r="J214" s="23"/>
      <c r="K214" s="24"/>
      <c r="L214" s="25"/>
      <c r="M214" s="23"/>
      <c r="N214" s="24"/>
      <c r="O214" s="26"/>
      <c r="P214" s="27" t="str">
        <f t="shared" si="23"/>
        <v/>
      </c>
      <c r="Q214" s="28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</row>
    <row r="215" spans="2:223" ht="18" customHeight="1">
      <c r="B215" s="22"/>
      <c r="C215" s="22"/>
      <c r="D215" s="22"/>
      <c r="E215" s="83"/>
      <c r="F215" s="83"/>
      <c r="G215" s="106"/>
      <c r="H215" s="83"/>
      <c r="I215" s="111"/>
      <c r="J215" s="23"/>
      <c r="K215" s="24"/>
      <c r="L215" s="25"/>
      <c r="M215" s="23"/>
      <c r="N215" s="24"/>
      <c r="O215" s="26"/>
      <c r="P215" s="27" t="str">
        <f t="shared" si="23"/>
        <v/>
      </c>
      <c r="Q215" s="28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</row>
    <row r="216" spans="2:223" ht="18" customHeight="1">
      <c r="B216" s="22"/>
      <c r="C216" s="22"/>
      <c r="D216" s="22"/>
      <c r="E216" s="83"/>
      <c r="F216" s="83"/>
      <c r="G216" s="106"/>
      <c r="H216" s="83"/>
      <c r="I216" s="111"/>
      <c r="J216" s="23"/>
      <c r="K216" s="24"/>
      <c r="L216" s="25"/>
      <c r="M216" s="23"/>
      <c r="N216" s="24"/>
      <c r="O216" s="26"/>
      <c r="P216" s="27" t="str">
        <f t="shared" si="23"/>
        <v/>
      </c>
      <c r="Q216" s="28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</row>
    <row r="217" spans="2:223" ht="18" customHeight="1">
      <c r="B217" s="22"/>
      <c r="C217" s="22"/>
      <c r="D217" s="22"/>
      <c r="E217" s="83"/>
      <c r="F217" s="83"/>
      <c r="G217" s="106"/>
      <c r="H217" s="83"/>
      <c r="I217" s="111"/>
      <c r="J217" s="23"/>
      <c r="K217" s="24"/>
      <c r="L217" s="25"/>
      <c r="M217" s="23"/>
      <c r="N217" s="24"/>
      <c r="O217" s="26"/>
      <c r="P217" s="27" t="str">
        <f t="shared" si="23"/>
        <v/>
      </c>
      <c r="Q217" s="28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</row>
    <row r="218" spans="2:223" ht="18" customHeight="1">
      <c r="B218" s="22"/>
      <c r="C218" s="22"/>
      <c r="D218" s="22"/>
      <c r="E218" s="83"/>
      <c r="F218" s="83"/>
      <c r="G218" s="106"/>
      <c r="H218" s="83"/>
      <c r="I218" s="111"/>
      <c r="J218" s="23"/>
      <c r="K218" s="24"/>
      <c r="L218" s="25"/>
      <c r="M218" s="23"/>
      <c r="N218" s="24"/>
      <c r="O218" s="26"/>
      <c r="P218" s="27" t="str">
        <f t="shared" si="23"/>
        <v/>
      </c>
      <c r="Q218" s="28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</row>
    <row r="219" spans="2:223" ht="18" customHeight="1">
      <c r="B219" s="22"/>
      <c r="C219" s="22"/>
      <c r="D219" s="22"/>
      <c r="E219" s="83"/>
      <c r="F219" s="83"/>
      <c r="G219" s="106"/>
      <c r="H219" s="83"/>
      <c r="I219" s="111"/>
      <c r="J219" s="23"/>
      <c r="K219" s="24"/>
      <c r="L219" s="25"/>
      <c r="M219" s="23"/>
      <c r="N219" s="24"/>
      <c r="O219" s="26"/>
      <c r="P219" s="27" t="str">
        <f t="shared" si="23"/>
        <v/>
      </c>
      <c r="Q219" s="28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</row>
    <row r="220" spans="2:223" ht="18" customHeight="1">
      <c r="B220" s="22"/>
      <c r="C220" s="22"/>
      <c r="D220" s="22"/>
      <c r="E220" s="83"/>
      <c r="F220" s="83"/>
      <c r="G220" s="106"/>
      <c r="H220" s="83"/>
      <c r="I220" s="111"/>
      <c r="J220" s="23"/>
      <c r="K220" s="24"/>
      <c r="L220" s="25"/>
      <c r="M220" s="23"/>
      <c r="N220" s="24"/>
      <c r="O220" s="26"/>
      <c r="P220" s="27" t="str">
        <f t="shared" si="23"/>
        <v/>
      </c>
      <c r="Q220" s="28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</row>
    <row r="221" spans="2:223" ht="18" customHeight="1">
      <c r="B221" s="22"/>
      <c r="C221" s="22"/>
      <c r="D221" s="22"/>
      <c r="E221" s="83"/>
      <c r="F221" s="83"/>
      <c r="G221" s="106"/>
      <c r="H221" s="83"/>
      <c r="I221" s="111"/>
      <c r="J221" s="23"/>
      <c r="K221" s="24"/>
      <c r="L221" s="25"/>
      <c r="M221" s="23"/>
      <c r="N221" s="24"/>
      <c r="O221" s="26"/>
      <c r="P221" s="27" t="str">
        <f t="shared" si="23"/>
        <v/>
      </c>
      <c r="Q221" s="28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</row>
    <row r="222" spans="2:223" ht="18" customHeight="1">
      <c r="B222" s="22"/>
      <c r="C222" s="22"/>
      <c r="D222" s="22"/>
      <c r="E222" s="83"/>
      <c r="F222" s="83"/>
      <c r="G222" s="106"/>
      <c r="H222" s="83"/>
      <c r="I222" s="111"/>
      <c r="J222" s="23"/>
      <c r="K222" s="24"/>
      <c r="L222" s="25"/>
      <c r="M222" s="23"/>
      <c r="N222" s="24"/>
      <c r="O222" s="26"/>
      <c r="P222" s="27" t="str">
        <f t="shared" si="23"/>
        <v/>
      </c>
      <c r="Q222" s="28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</row>
    <row r="223" spans="2:223" ht="18" customHeight="1">
      <c r="B223" s="22"/>
      <c r="C223" s="22"/>
      <c r="D223" s="22"/>
      <c r="E223" s="83"/>
      <c r="F223" s="83"/>
      <c r="G223" s="106"/>
      <c r="H223" s="83"/>
      <c r="I223" s="111"/>
      <c r="J223" s="23"/>
      <c r="K223" s="24"/>
      <c r="L223" s="25"/>
      <c r="M223" s="23"/>
      <c r="N223" s="24"/>
      <c r="O223" s="26"/>
      <c r="P223" s="27" t="str">
        <f t="shared" si="23"/>
        <v/>
      </c>
      <c r="Q223" s="28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</row>
    <row r="224" spans="2:223" ht="18" customHeight="1">
      <c r="B224" s="22"/>
      <c r="C224" s="22"/>
      <c r="D224" s="22"/>
      <c r="E224" s="83"/>
      <c r="F224" s="83"/>
      <c r="G224" s="106"/>
      <c r="H224" s="83"/>
      <c r="I224" s="111"/>
      <c r="J224" s="23"/>
      <c r="K224" s="24"/>
      <c r="L224" s="25"/>
      <c r="M224" s="23"/>
      <c r="N224" s="24"/>
      <c r="O224" s="26"/>
      <c r="P224" s="27" t="str">
        <f t="shared" ref="P224:P287" si="24">IF(AND(ISNUMBER(M224),ISNUMBER(N224)),N224-M224+1,IF(OR(ISBLANK(J224),ISBLANK(K224)),"",K224-J224+1))</f>
        <v/>
      </c>
      <c r="Q224" s="28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</row>
    <row r="225" spans="2:223" ht="18" customHeight="1">
      <c r="B225" s="22"/>
      <c r="C225" s="22"/>
      <c r="D225" s="22"/>
      <c r="E225" s="83"/>
      <c r="F225" s="83"/>
      <c r="G225" s="106"/>
      <c r="H225" s="83"/>
      <c r="I225" s="111"/>
      <c r="J225" s="23"/>
      <c r="K225" s="24"/>
      <c r="L225" s="25"/>
      <c r="M225" s="23"/>
      <c r="N225" s="24"/>
      <c r="O225" s="26"/>
      <c r="P225" s="27" t="str">
        <f t="shared" si="24"/>
        <v/>
      </c>
      <c r="Q225" s="28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</row>
    <row r="226" spans="2:223" ht="18" customHeight="1">
      <c r="B226" s="22"/>
      <c r="C226" s="22"/>
      <c r="D226" s="22"/>
      <c r="E226" s="83"/>
      <c r="F226" s="83"/>
      <c r="G226" s="106"/>
      <c r="H226" s="83"/>
      <c r="I226" s="111"/>
      <c r="J226" s="23"/>
      <c r="K226" s="24"/>
      <c r="L226" s="25"/>
      <c r="M226" s="23"/>
      <c r="N226" s="24"/>
      <c r="O226" s="26"/>
      <c r="P226" s="27" t="str">
        <f t="shared" si="24"/>
        <v/>
      </c>
      <c r="Q226" s="28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</row>
    <row r="227" spans="2:223" ht="18" customHeight="1">
      <c r="B227" s="22"/>
      <c r="C227" s="22"/>
      <c r="D227" s="22"/>
      <c r="E227" s="83"/>
      <c r="F227" s="83"/>
      <c r="G227" s="106"/>
      <c r="H227" s="83"/>
      <c r="I227" s="111"/>
      <c r="J227" s="23"/>
      <c r="K227" s="24"/>
      <c r="L227" s="25"/>
      <c r="M227" s="23"/>
      <c r="N227" s="24"/>
      <c r="O227" s="26"/>
      <c r="P227" s="27" t="str">
        <f t="shared" si="24"/>
        <v/>
      </c>
      <c r="Q227" s="28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</row>
    <row r="228" spans="2:223" ht="18" customHeight="1">
      <c r="B228" s="22"/>
      <c r="C228" s="22"/>
      <c r="D228" s="22"/>
      <c r="E228" s="83"/>
      <c r="F228" s="83"/>
      <c r="G228" s="106"/>
      <c r="H228" s="83"/>
      <c r="I228" s="111"/>
      <c r="J228" s="23"/>
      <c r="K228" s="24"/>
      <c r="L228" s="25"/>
      <c r="M228" s="23"/>
      <c r="N228" s="24"/>
      <c r="O228" s="26"/>
      <c r="P228" s="27" t="str">
        <f t="shared" si="24"/>
        <v/>
      </c>
      <c r="Q228" s="28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</row>
    <row r="229" spans="2:223" ht="18" customHeight="1">
      <c r="B229" s="22"/>
      <c r="C229" s="22"/>
      <c r="D229" s="22"/>
      <c r="E229" s="83"/>
      <c r="F229" s="83"/>
      <c r="G229" s="106"/>
      <c r="H229" s="83"/>
      <c r="I229" s="111"/>
      <c r="J229" s="23"/>
      <c r="K229" s="24"/>
      <c r="L229" s="25"/>
      <c r="M229" s="23"/>
      <c r="N229" s="24"/>
      <c r="O229" s="26"/>
      <c r="P229" s="27" t="str">
        <f t="shared" si="24"/>
        <v/>
      </c>
      <c r="Q229" s="28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</row>
    <row r="230" spans="2:223" ht="18" customHeight="1">
      <c r="B230" s="22"/>
      <c r="C230" s="22"/>
      <c r="D230" s="22"/>
      <c r="E230" s="83"/>
      <c r="F230" s="83"/>
      <c r="G230" s="106"/>
      <c r="H230" s="83"/>
      <c r="I230" s="111"/>
      <c r="J230" s="23"/>
      <c r="K230" s="24"/>
      <c r="L230" s="25"/>
      <c r="M230" s="23"/>
      <c r="N230" s="24"/>
      <c r="O230" s="26"/>
      <c r="P230" s="27" t="str">
        <f t="shared" si="24"/>
        <v/>
      </c>
      <c r="Q230" s="28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</row>
    <row r="231" spans="2:223" ht="18" customHeight="1">
      <c r="B231" s="22"/>
      <c r="C231" s="22"/>
      <c r="D231" s="22"/>
      <c r="E231" s="83"/>
      <c r="F231" s="83"/>
      <c r="G231" s="106"/>
      <c r="H231" s="83"/>
      <c r="I231" s="111"/>
      <c r="J231" s="23"/>
      <c r="K231" s="24"/>
      <c r="L231" s="25"/>
      <c r="M231" s="23"/>
      <c r="N231" s="24"/>
      <c r="O231" s="26"/>
      <c r="P231" s="27" t="str">
        <f t="shared" si="24"/>
        <v/>
      </c>
      <c r="Q231" s="28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</row>
    <row r="232" spans="2:223" ht="18" customHeight="1">
      <c r="B232" s="22"/>
      <c r="C232" s="22"/>
      <c r="D232" s="22"/>
      <c r="E232" s="83"/>
      <c r="F232" s="83"/>
      <c r="G232" s="106"/>
      <c r="H232" s="83"/>
      <c r="I232" s="111"/>
      <c r="J232" s="23"/>
      <c r="K232" s="24"/>
      <c r="L232" s="25"/>
      <c r="M232" s="23"/>
      <c r="N232" s="24"/>
      <c r="O232" s="26"/>
      <c r="P232" s="27" t="str">
        <f t="shared" si="24"/>
        <v/>
      </c>
      <c r="Q232" s="28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</row>
    <row r="233" spans="2:223" ht="18" customHeight="1">
      <c r="B233" s="22"/>
      <c r="C233" s="22"/>
      <c r="D233" s="22"/>
      <c r="E233" s="83"/>
      <c r="F233" s="83"/>
      <c r="G233" s="106"/>
      <c r="H233" s="83"/>
      <c r="I233" s="111"/>
      <c r="J233" s="23"/>
      <c r="K233" s="24"/>
      <c r="L233" s="25"/>
      <c r="M233" s="23"/>
      <c r="N233" s="24"/>
      <c r="O233" s="26"/>
      <c r="P233" s="27" t="str">
        <f t="shared" si="24"/>
        <v/>
      </c>
      <c r="Q233" s="28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</row>
    <row r="234" spans="2:223" ht="18" customHeight="1">
      <c r="B234" s="22"/>
      <c r="C234" s="22"/>
      <c r="D234" s="22"/>
      <c r="E234" s="83"/>
      <c r="F234" s="83"/>
      <c r="G234" s="106"/>
      <c r="H234" s="83"/>
      <c r="I234" s="111"/>
      <c r="J234" s="23"/>
      <c r="K234" s="24"/>
      <c r="L234" s="25"/>
      <c r="M234" s="23"/>
      <c r="N234" s="24"/>
      <c r="O234" s="26"/>
      <c r="P234" s="27" t="str">
        <f t="shared" si="24"/>
        <v/>
      </c>
      <c r="Q234" s="28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</row>
    <row r="235" spans="2:223" ht="18" customHeight="1">
      <c r="B235" s="22"/>
      <c r="C235" s="22"/>
      <c r="D235" s="22"/>
      <c r="E235" s="83"/>
      <c r="F235" s="83"/>
      <c r="G235" s="106"/>
      <c r="H235" s="83"/>
      <c r="I235" s="111"/>
      <c r="J235" s="23"/>
      <c r="K235" s="24"/>
      <c r="L235" s="25"/>
      <c r="M235" s="23"/>
      <c r="N235" s="24"/>
      <c r="O235" s="26"/>
      <c r="P235" s="27" t="str">
        <f t="shared" si="24"/>
        <v/>
      </c>
      <c r="Q235" s="28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</row>
    <row r="236" spans="2:223" ht="18" customHeight="1">
      <c r="B236" s="22"/>
      <c r="C236" s="22"/>
      <c r="D236" s="22"/>
      <c r="E236" s="83"/>
      <c r="F236" s="83"/>
      <c r="G236" s="106"/>
      <c r="H236" s="83"/>
      <c r="I236" s="111"/>
      <c r="J236" s="23"/>
      <c r="K236" s="24"/>
      <c r="L236" s="25"/>
      <c r="M236" s="23"/>
      <c r="N236" s="24"/>
      <c r="O236" s="26"/>
      <c r="P236" s="27" t="str">
        <f t="shared" si="24"/>
        <v/>
      </c>
      <c r="Q236" s="28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</row>
    <row r="237" spans="2:223" ht="18" customHeight="1">
      <c r="B237" s="22"/>
      <c r="C237" s="22"/>
      <c r="D237" s="22"/>
      <c r="E237" s="83"/>
      <c r="F237" s="83"/>
      <c r="G237" s="106"/>
      <c r="H237" s="83"/>
      <c r="I237" s="111"/>
      <c r="J237" s="23"/>
      <c r="K237" s="24"/>
      <c r="L237" s="25"/>
      <c r="M237" s="23"/>
      <c r="N237" s="24"/>
      <c r="O237" s="26"/>
      <c r="P237" s="27" t="str">
        <f t="shared" si="24"/>
        <v/>
      </c>
      <c r="Q237" s="28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</row>
    <row r="238" spans="2:223" ht="18" customHeight="1">
      <c r="B238" s="22"/>
      <c r="C238" s="22"/>
      <c r="D238" s="22"/>
      <c r="E238" s="83"/>
      <c r="F238" s="83"/>
      <c r="G238" s="106"/>
      <c r="H238" s="83"/>
      <c r="I238" s="111"/>
      <c r="J238" s="23"/>
      <c r="K238" s="24"/>
      <c r="L238" s="25"/>
      <c r="M238" s="23"/>
      <c r="N238" s="24"/>
      <c r="O238" s="26"/>
      <c r="P238" s="27" t="str">
        <f t="shared" si="24"/>
        <v/>
      </c>
      <c r="Q238" s="28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</row>
    <row r="239" spans="2:223" ht="18" customHeight="1">
      <c r="B239" s="22"/>
      <c r="C239" s="22"/>
      <c r="D239" s="22"/>
      <c r="E239" s="83"/>
      <c r="F239" s="83"/>
      <c r="G239" s="106"/>
      <c r="H239" s="83"/>
      <c r="I239" s="111"/>
      <c r="J239" s="23"/>
      <c r="K239" s="24"/>
      <c r="L239" s="25"/>
      <c r="M239" s="23"/>
      <c r="N239" s="24"/>
      <c r="O239" s="26"/>
      <c r="P239" s="27" t="str">
        <f t="shared" si="24"/>
        <v/>
      </c>
      <c r="Q239" s="28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</row>
    <row r="240" spans="2:223" ht="18" customHeight="1">
      <c r="B240" s="22"/>
      <c r="C240" s="22"/>
      <c r="D240" s="22"/>
      <c r="E240" s="83"/>
      <c r="F240" s="83"/>
      <c r="G240" s="106"/>
      <c r="H240" s="83"/>
      <c r="I240" s="111"/>
      <c r="J240" s="23"/>
      <c r="K240" s="24"/>
      <c r="L240" s="25"/>
      <c r="M240" s="23"/>
      <c r="N240" s="24"/>
      <c r="O240" s="26"/>
      <c r="P240" s="27" t="str">
        <f t="shared" si="24"/>
        <v/>
      </c>
      <c r="Q240" s="28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</row>
    <row r="241" spans="2:223" ht="18" customHeight="1">
      <c r="B241" s="22"/>
      <c r="C241" s="22"/>
      <c r="D241" s="22"/>
      <c r="E241" s="83"/>
      <c r="F241" s="83"/>
      <c r="G241" s="106"/>
      <c r="H241" s="83"/>
      <c r="I241" s="111"/>
      <c r="J241" s="23"/>
      <c r="K241" s="24"/>
      <c r="L241" s="25"/>
      <c r="M241" s="23"/>
      <c r="N241" s="24"/>
      <c r="O241" s="26"/>
      <c r="P241" s="27" t="str">
        <f t="shared" si="24"/>
        <v/>
      </c>
      <c r="Q241" s="28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</row>
    <row r="242" spans="2:223" ht="18" customHeight="1">
      <c r="B242" s="22"/>
      <c r="C242" s="22"/>
      <c r="D242" s="22"/>
      <c r="E242" s="83"/>
      <c r="F242" s="83"/>
      <c r="G242" s="106"/>
      <c r="H242" s="83"/>
      <c r="I242" s="111"/>
      <c r="J242" s="23"/>
      <c r="K242" s="24"/>
      <c r="L242" s="25"/>
      <c r="M242" s="23"/>
      <c r="N242" s="24"/>
      <c r="O242" s="26"/>
      <c r="P242" s="27" t="str">
        <f t="shared" si="24"/>
        <v/>
      </c>
      <c r="Q242" s="28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</row>
    <row r="243" spans="2:223" ht="18" customHeight="1">
      <c r="B243" s="22"/>
      <c r="C243" s="22"/>
      <c r="D243" s="22"/>
      <c r="E243" s="83"/>
      <c r="F243" s="83"/>
      <c r="G243" s="106"/>
      <c r="H243" s="83"/>
      <c r="I243" s="111"/>
      <c r="J243" s="23"/>
      <c r="K243" s="24"/>
      <c r="L243" s="25"/>
      <c r="M243" s="23"/>
      <c r="N243" s="24"/>
      <c r="O243" s="26"/>
      <c r="P243" s="27" t="str">
        <f t="shared" si="24"/>
        <v/>
      </c>
      <c r="Q243" s="28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</row>
    <row r="244" spans="2:223" ht="18" customHeight="1">
      <c r="B244" s="22"/>
      <c r="C244" s="22"/>
      <c r="D244" s="22"/>
      <c r="E244" s="83"/>
      <c r="F244" s="83"/>
      <c r="G244" s="106"/>
      <c r="H244" s="83"/>
      <c r="I244" s="111"/>
      <c r="J244" s="23"/>
      <c r="K244" s="24"/>
      <c r="L244" s="25"/>
      <c r="M244" s="23"/>
      <c r="N244" s="24"/>
      <c r="O244" s="26"/>
      <c r="P244" s="27" t="str">
        <f t="shared" si="24"/>
        <v/>
      </c>
      <c r="Q244" s="28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</row>
    <row r="245" spans="2:223" ht="18" customHeight="1">
      <c r="B245" s="22"/>
      <c r="C245" s="22"/>
      <c r="D245" s="22"/>
      <c r="E245" s="83"/>
      <c r="F245" s="83"/>
      <c r="G245" s="106"/>
      <c r="H245" s="83"/>
      <c r="I245" s="111"/>
      <c r="J245" s="23"/>
      <c r="K245" s="24"/>
      <c r="L245" s="25"/>
      <c r="M245" s="23"/>
      <c r="N245" s="24"/>
      <c r="O245" s="26"/>
      <c r="P245" s="27" t="str">
        <f t="shared" si="24"/>
        <v/>
      </c>
      <c r="Q245" s="28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</row>
    <row r="246" spans="2:223" ht="18" customHeight="1">
      <c r="B246" s="22"/>
      <c r="C246" s="22"/>
      <c r="D246" s="22"/>
      <c r="E246" s="83"/>
      <c r="F246" s="83"/>
      <c r="G246" s="106"/>
      <c r="H246" s="83"/>
      <c r="I246" s="111"/>
      <c r="J246" s="23"/>
      <c r="K246" s="24"/>
      <c r="L246" s="25"/>
      <c r="M246" s="23"/>
      <c r="N246" s="24"/>
      <c r="O246" s="26"/>
      <c r="P246" s="27" t="str">
        <f t="shared" si="24"/>
        <v/>
      </c>
      <c r="Q246" s="28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</row>
    <row r="247" spans="2:223" ht="18" customHeight="1">
      <c r="B247" s="22"/>
      <c r="C247" s="22"/>
      <c r="D247" s="22"/>
      <c r="E247" s="83"/>
      <c r="F247" s="83"/>
      <c r="G247" s="106"/>
      <c r="H247" s="83"/>
      <c r="I247" s="111"/>
      <c r="J247" s="23"/>
      <c r="K247" s="24"/>
      <c r="L247" s="25"/>
      <c r="M247" s="23"/>
      <c r="N247" s="24"/>
      <c r="O247" s="26"/>
      <c r="P247" s="27" t="str">
        <f t="shared" si="24"/>
        <v/>
      </c>
      <c r="Q247" s="28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</row>
    <row r="248" spans="2:223" ht="18" customHeight="1">
      <c r="B248" s="22"/>
      <c r="C248" s="22"/>
      <c r="D248" s="22"/>
      <c r="E248" s="83"/>
      <c r="F248" s="83"/>
      <c r="G248" s="106"/>
      <c r="H248" s="83"/>
      <c r="I248" s="111"/>
      <c r="J248" s="23"/>
      <c r="K248" s="24"/>
      <c r="L248" s="25"/>
      <c r="M248" s="23"/>
      <c r="N248" s="24"/>
      <c r="O248" s="26"/>
      <c r="P248" s="27" t="str">
        <f t="shared" si="24"/>
        <v/>
      </c>
      <c r="Q248" s="28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</row>
    <row r="249" spans="2:223" ht="18" customHeight="1">
      <c r="B249" s="22"/>
      <c r="C249" s="22"/>
      <c r="D249" s="22"/>
      <c r="E249" s="83"/>
      <c r="F249" s="83"/>
      <c r="G249" s="106"/>
      <c r="H249" s="83"/>
      <c r="I249" s="111"/>
      <c r="J249" s="23"/>
      <c r="K249" s="24"/>
      <c r="L249" s="25"/>
      <c r="M249" s="23"/>
      <c r="N249" s="24"/>
      <c r="O249" s="26"/>
      <c r="P249" s="27" t="str">
        <f t="shared" si="24"/>
        <v/>
      </c>
      <c r="Q249" s="28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</row>
    <row r="250" spans="2:223" ht="18" customHeight="1">
      <c r="B250" s="22"/>
      <c r="C250" s="22"/>
      <c r="D250" s="22"/>
      <c r="E250" s="83"/>
      <c r="F250" s="83"/>
      <c r="G250" s="106"/>
      <c r="H250" s="83"/>
      <c r="I250" s="111"/>
      <c r="J250" s="23"/>
      <c r="K250" s="24"/>
      <c r="L250" s="25"/>
      <c r="M250" s="23"/>
      <c r="N250" s="24"/>
      <c r="O250" s="26"/>
      <c r="P250" s="27" t="str">
        <f t="shared" si="24"/>
        <v/>
      </c>
      <c r="Q250" s="28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</row>
    <row r="251" spans="2:223" ht="18" customHeight="1">
      <c r="B251" s="22"/>
      <c r="C251" s="22"/>
      <c r="D251" s="22"/>
      <c r="E251" s="83"/>
      <c r="F251" s="83"/>
      <c r="G251" s="106"/>
      <c r="H251" s="83"/>
      <c r="I251" s="111"/>
      <c r="J251" s="23"/>
      <c r="K251" s="24"/>
      <c r="L251" s="25"/>
      <c r="M251" s="23"/>
      <c r="N251" s="24"/>
      <c r="O251" s="26"/>
      <c r="P251" s="27" t="str">
        <f t="shared" si="24"/>
        <v/>
      </c>
      <c r="Q251" s="28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</row>
    <row r="252" spans="2:223" ht="18" customHeight="1">
      <c r="B252" s="22"/>
      <c r="C252" s="22"/>
      <c r="D252" s="22"/>
      <c r="E252" s="83"/>
      <c r="F252" s="83"/>
      <c r="G252" s="106"/>
      <c r="H252" s="83"/>
      <c r="I252" s="111"/>
      <c r="J252" s="23"/>
      <c r="K252" s="24"/>
      <c r="L252" s="25"/>
      <c r="M252" s="23"/>
      <c r="N252" s="24"/>
      <c r="O252" s="26"/>
      <c r="P252" s="27" t="str">
        <f t="shared" si="24"/>
        <v/>
      </c>
      <c r="Q252" s="28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</row>
    <row r="253" spans="2:223" ht="18" customHeight="1">
      <c r="B253" s="22"/>
      <c r="C253" s="22"/>
      <c r="D253" s="22"/>
      <c r="E253" s="83"/>
      <c r="F253" s="83"/>
      <c r="G253" s="106"/>
      <c r="H253" s="83"/>
      <c r="I253" s="111"/>
      <c r="J253" s="23"/>
      <c r="K253" s="24"/>
      <c r="L253" s="25"/>
      <c r="M253" s="23"/>
      <c r="N253" s="24"/>
      <c r="O253" s="26"/>
      <c r="P253" s="27" t="str">
        <f t="shared" si="24"/>
        <v/>
      </c>
      <c r="Q253" s="28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</row>
    <row r="254" spans="2:223" ht="18" customHeight="1">
      <c r="B254" s="22"/>
      <c r="C254" s="22"/>
      <c r="D254" s="22"/>
      <c r="E254" s="83"/>
      <c r="F254" s="83"/>
      <c r="G254" s="106"/>
      <c r="H254" s="83"/>
      <c r="I254" s="111"/>
      <c r="J254" s="23"/>
      <c r="K254" s="24"/>
      <c r="L254" s="25"/>
      <c r="M254" s="23"/>
      <c r="N254" s="24"/>
      <c r="O254" s="26"/>
      <c r="P254" s="27" t="str">
        <f t="shared" si="24"/>
        <v/>
      </c>
      <c r="Q254" s="28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</row>
    <row r="255" spans="2:223" ht="18" customHeight="1">
      <c r="B255" s="22"/>
      <c r="C255" s="22"/>
      <c r="D255" s="22"/>
      <c r="E255" s="83"/>
      <c r="F255" s="83"/>
      <c r="G255" s="106"/>
      <c r="H255" s="83"/>
      <c r="I255" s="111"/>
      <c r="J255" s="23"/>
      <c r="K255" s="24"/>
      <c r="L255" s="25"/>
      <c r="M255" s="23"/>
      <c r="N255" s="24"/>
      <c r="O255" s="26"/>
      <c r="P255" s="27" t="str">
        <f t="shared" si="24"/>
        <v/>
      </c>
      <c r="Q255" s="28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</row>
    <row r="256" spans="2:223" ht="18" customHeight="1">
      <c r="B256" s="22"/>
      <c r="C256" s="22"/>
      <c r="D256" s="22"/>
      <c r="E256" s="83"/>
      <c r="F256" s="83"/>
      <c r="G256" s="106"/>
      <c r="H256" s="83"/>
      <c r="I256" s="111"/>
      <c r="J256" s="23"/>
      <c r="K256" s="24"/>
      <c r="L256" s="25"/>
      <c r="M256" s="23"/>
      <c r="N256" s="24"/>
      <c r="O256" s="26"/>
      <c r="P256" s="27" t="str">
        <f t="shared" si="24"/>
        <v/>
      </c>
      <c r="Q256" s="28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</row>
    <row r="257" spans="2:223" ht="18" customHeight="1">
      <c r="B257" s="22"/>
      <c r="C257" s="22"/>
      <c r="D257" s="22"/>
      <c r="E257" s="83"/>
      <c r="F257" s="83"/>
      <c r="G257" s="106"/>
      <c r="H257" s="83"/>
      <c r="I257" s="111"/>
      <c r="J257" s="23"/>
      <c r="K257" s="24"/>
      <c r="L257" s="25"/>
      <c r="M257" s="23"/>
      <c r="N257" s="24"/>
      <c r="O257" s="26"/>
      <c r="P257" s="27" t="str">
        <f t="shared" si="24"/>
        <v/>
      </c>
      <c r="Q257" s="28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</row>
    <row r="258" spans="2:223" ht="18" customHeight="1">
      <c r="B258" s="22"/>
      <c r="C258" s="22"/>
      <c r="D258" s="22"/>
      <c r="E258" s="83"/>
      <c r="F258" s="83"/>
      <c r="G258" s="106"/>
      <c r="H258" s="83"/>
      <c r="I258" s="111"/>
      <c r="J258" s="23"/>
      <c r="K258" s="24"/>
      <c r="L258" s="25"/>
      <c r="M258" s="23"/>
      <c r="N258" s="24"/>
      <c r="O258" s="26"/>
      <c r="P258" s="27" t="str">
        <f t="shared" si="24"/>
        <v/>
      </c>
      <c r="Q258" s="28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/>
      <c r="EG258" s="22"/>
      <c r="EH258" s="22"/>
      <c r="EI258" s="22"/>
      <c r="EJ258" s="22"/>
      <c r="EK258" s="22"/>
      <c r="EL258" s="22"/>
      <c r="EM258" s="22"/>
      <c r="EN258" s="22"/>
      <c r="EO258" s="22"/>
      <c r="EP258" s="22"/>
      <c r="EQ258" s="22"/>
      <c r="ER258" s="22"/>
      <c r="ES258" s="22"/>
      <c r="ET258" s="22"/>
      <c r="EU258" s="22"/>
      <c r="EV258" s="22"/>
      <c r="EW258" s="22"/>
      <c r="EX258" s="22"/>
      <c r="EY258" s="22"/>
      <c r="EZ258" s="22"/>
      <c r="FA258" s="22"/>
      <c r="FB258" s="22"/>
      <c r="FC258" s="22"/>
      <c r="FD258" s="22"/>
      <c r="FE258" s="22"/>
      <c r="FF258" s="22"/>
      <c r="FG258" s="22"/>
      <c r="FH258" s="22"/>
      <c r="FI258" s="22"/>
      <c r="FJ258" s="22"/>
      <c r="FK258" s="22"/>
      <c r="FL258" s="22"/>
      <c r="FM258" s="22"/>
      <c r="FN258" s="22"/>
      <c r="FO258" s="22"/>
      <c r="FP258" s="22"/>
      <c r="FQ258" s="22"/>
      <c r="FR258" s="22"/>
      <c r="FS258" s="22"/>
      <c r="FT258" s="22"/>
      <c r="FU258" s="22"/>
      <c r="FV258" s="22"/>
      <c r="FW258" s="22"/>
      <c r="FX258" s="22"/>
      <c r="FY258" s="22"/>
      <c r="FZ258" s="22"/>
      <c r="GA258" s="22"/>
      <c r="GB258" s="22"/>
      <c r="GC258" s="22"/>
      <c r="GD258" s="22"/>
      <c r="GE258" s="22"/>
      <c r="GF258" s="22"/>
      <c r="GG258" s="22"/>
      <c r="GH258" s="22"/>
      <c r="GI258" s="22"/>
      <c r="GJ258" s="22"/>
      <c r="GK258" s="22"/>
      <c r="GL258" s="22"/>
      <c r="GM258" s="22"/>
      <c r="GN258" s="22"/>
      <c r="GO258" s="22"/>
      <c r="GP258" s="22"/>
      <c r="GQ258" s="22"/>
      <c r="GR258" s="22"/>
      <c r="GS258" s="22"/>
      <c r="GT258" s="22"/>
      <c r="GU258" s="22"/>
      <c r="GV258" s="22"/>
      <c r="GW258" s="22"/>
      <c r="GX258" s="22"/>
      <c r="GY258" s="22"/>
      <c r="GZ258" s="22"/>
      <c r="HA258" s="22"/>
      <c r="HB258" s="22"/>
      <c r="HC258" s="22"/>
      <c r="HD258" s="22"/>
      <c r="HE258" s="22"/>
      <c r="HF258" s="22"/>
      <c r="HG258" s="22"/>
      <c r="HH258" s="22"/>
      <c r="HI258" s="22"/>
      <c r="HJ258" s="22"/>
      <c r="HK258" s="22"/>
      <c r="HL258" s="22"/>
      <c r="HM258" s="22"/>
      <c r="HN258" s="22"/>
      <c r="HO258" s="22"/>
    </row>
    <row r="259" spans="2:223" ht="18" customHeight="1">
      <c r="B259" s="22"/>
      <c r="C259" s="22"/>
      <c r="D259" s="22"/>
      <c r="E259" s="83"/>
      <c r="F259" s="83"/>
      <c r="G259" s="106"/>
      <c r="H259" s="83"/>
      <c r="I259" s="111"/>
      <c r="J259" s="23"/>
      <c r="K259" s="24"/>
      <c r="L259" s="25"/>
      <c r="M259" s="23"/>
      <c r="N259" s="24"/>
      <c r="O259" s="26"/>
      <c r="P259" s="27" t="str">
        <f t="shared" si="24"/>
        <v/>
      </c>
      <c r="Q259" s="28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/>
      <c r="EG259" s="22"/>
      <c r="EH259" s="22"/>
      <c r="EI259" s="22"/>
      <c r="EJ259" s="22"/>
      <c r="EK259" s="22"/>
      <c r="EL259" s="22"/>
      <c r="EM259" s="22"/>
      <c r="EN259" s="22"/>
      <c r="EO259" s="22"/>
      <c r="EP259" s="22"/>
      <c r="EQ259" s="22"/>
      <c r="ER259" s="22"/>
      <c r="ES259" s="22"/>
      <c r="ET259" s="22"/>
      <c r="EU259" s="22"/>
      <c r="EV259" s="22"/>
      <c r="EW259" s="22"/>
      <c r="EX259" s="22"/>
      <c r="EY259" s="22"/>
      <c r="EZ259" s="22"/>
      <c r="FA259" s="22"/>
      <c r="FB259" s="22"/>
      <c r="FC259" s="22"/>
      <c r="FD259" s="22"/>
      <c r="FE259" s="22"/>
      <c r="FF259" s="22"/>
      <c r="FG259" s="22"/>
      <c r="FH259" s="22"/>
      <c r="FI259" s="22"/>
      <c r="FJ259" s="22"/>
      <c r="FK259" s="22"/>
      <c r="FL259" s="22"/>
      <c r="FM259" s="22"/>
      <c r="FN259" s="22"/>
      <c r="FO259" s="22"/>
      <c r="FP259" s="22"/>
      <c r="FQ259" s="22"/>
      <c r="FR259" s="22"/>
      <c r="FS259" s="22"/>
      <c r="FT259" s="22"/>
      <c r="FU259" s="22"/>
      <c r="FV259" s="22"/>
      <c r="FW259" s="22"/>
      <c r="FX259" s="22"/>
      <c r="FY259" s="22"/>
      <c r="FZ259" s="22"/>
      <c r="GA259" s="22"/>
      <c r="GB259" s="22"/>
      <c r="GC259" s="22"/>
      <c r="GD259" s="22"/>
      <c r="GE259" s="22"/>
      <c r="GF259" s="22"/>
      <c r="GG259" s="22"/>
      <c r="GH259" s="22"/>
      <c r="GI259" s="22"/>
      <c r="GJ259" s="22"/>
      <c r="GK259" s="22"/>
      <c r="GL259" s="22"/>
      <c r="GM259" s="22"/>
      <c r="GN259" s="22"/>
      <c r="GO259" s="22"/>
      <c r="GP259" s="22"/>
      <c r="GQ259" s="22"/>
      <c r="GR259" s="22"/>
      <c r="GS259" s="22"/>
      <c r="GT259" s="22"/>
      <c r="GU259" s="22"/>
      <c r="GV259" s="22"/>
      <c r="GW259" s="22"/>
      <c r="GX259" s="22"/>
      <c r="GY259" s="22"/>
      <c r="GZ259" s="22"/>
      <c r="HA259" s="22"/>
      <c r="HB259" s="22"/>
      <c r="HC259" s="22"/>
      <c r="HD259" s="22"/>
      <c r="HE259" s="22"/>
      <c r="HF259" s="22"/>
      <c r="HG259" s="22"/>
      <c r="HH259" s="22"/>
      <c r="HI259" s="22"/>
      <c r="HJ259" s="22"/>
      <c r="HK259" s="22"/>
      <c r="HL259" s="22"/>
      <c r="HM259" s="22"/>
      <c r="HN259" s="22"/>
      <c r="HO259" s="22"/>
    </row>
    <row r="260" spans="2:223" ht="18" customHeight="1">
      <c r="B260" s="22"/>
      <c r="C260" s="22"/>
      <c r="D260" s="22"/>
      <c r="E260" s="83"/>
      <c r="F260" s="83"/>
      <c r="G260" s="106"/>
      <c r="H260" s="83"/>
      <c r="I260" s="111"/>
      <c r="J260" s="23"/>
      <c r="K260" s="24"/>
      <c r="L260" s="25"/>
      <c r="M260" s="23"/>
      <c r="N260" s="24"/>
      <c r="O260" s="26"/>
      <c r="P260" s="27" t="str">
        <f t="shared" si="24"/>
        <v/>
      </c>
      <c r="Q260" s="28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/>
      <c r="EG260" s="22"/>
      <c r="EH260" s="22"/>
      <c r="EI260" s="22"/>
      <c r="EJ260" s="22"/>
      <c r="EK260" s="22"/>
      <c r="EL260" s="22"/>
      <c r="EM260" s="22"/>
      <c r="EN260" s="22"/>
      <c r="EO260" s="22"/>
      <c r="EP260" s="22"/>
      <c r="EQ260" s="22"/>
      <c r="ER260" s="22"/>
      <c r="ES260" s="22"/>
      <c r="ET260" s="22"/>
      <c r="EU260" s="22"/>
      <c r="EV260" s="22"/>
      <c r="EW260" s="22"/>
      <c r="EX260" s="22"/>
      <c r="EY260" s="22"/>
      <c r="EZ260" s="22"/>
      <c r="FA260" s="22"/>
      <c r="FB260" s="22"/>
      <c r="FC260" s="22"/>
      <c r="FD260" s="22"/>
      <c r="FE260" s="22"/>
      <c r="FF260" s="22"/>
      <c r="FG260" s="22"/>
      <c r="FH260" s="22"/>
      <c r="FI260" s="22"/>
      <c r="FJ260" s="22"/>
      <c r="FK260" s="22"/>
      <c r="FL260" s="22"/>
      <c r="FM260" s="22"/>
      <c r="FN260" s="22"/>
      <c r="FO260" s="22"/>
      <c r="FP260" s="22"/>
      <c r="FQ260" s="22"/>
      <c r="FR260" s="22"/>
      <c r="FS260" s="22"/>
      <c r="FT260" s="22"/>
      <c r="FU260" s="22"/>
      <c r="FV260" s="22"/>
      <c r="FW260" s="22"/>
      <c r="FX260" s="22"/>
      <c r="FY260" s="22"/>
      <c r="FZ260" s="22"/>
      <c r="GA260" s="22"/>
      <c r="GB260" s="22"/>
      <c r="GC260" s="22"/>
      <c r="GD260" s="22"/>
      <c r="GE260" s="22"/>
      <c r="GF260" s="22"/>
      <c r="GG260" s="22"/>
      <c r="GH260" s="22"/>
      <c r="GI260" s="22"/>
      <c r="GJ260" s="22"/>
      <c r="GK260" s="22"/>
      <c r="GL260" s="22"/>
      <c r="GM260" s="22"/>
      <c r="GN260" s="22"/>
      <c r="GO260" s="22"/>
      <c r="GP260" s="22"/>
      <c r="GQ260" s="22"/>
      <c r="GR260" s="22"/>
      <c r="GS260" s="22"/>
      <c r="GT260" s="22"/>
      <c r="GU260" s="22"/>
      <c r="GV260" s="22"/>
      <c r="GW260" s="22"/>
      <c r="GX260" s="22"/>
      <c r="GY260" s="22"/>
      <c r="GZ260" s="22"/>
      <c r="HA260" s="22"/>
      <c r="HB260" s="22"/>
      <c r="HC260" s="22"/>
      <c r="HD260" s="22"/>
      <c r="HE260" s="22"/>
      <c r="HF260" s="22"/>
      <c r="HG260" s="22"/>
      <c r="HH260" s="22"/>
      <c r="HI260" s="22"/>
      <c r="HJ260" s="22"/>
      <c r="HK260" s="22"/>
      <c r="HL260" s="22"/>
      <c r="HM260" s="22"/>
      <c r="HN260" s="22"/>
      <c r="HO260" s="22"/>
    </row>
    <row r="261" spans="2:223" ht="18" customHeight="1">
      <c r="B261" s="22"/>
      <c r="C261" s="22"/>
      <c r="D261" s="22"/>
      <c r="E261" s="83"/>
      <c r="F261" s="83"/>
      <c r="G261" s="106"/>
      <c r="H261" s="83"/>
      <c r="I261" s="111"/>
      <c r="J261" s="23"/>
      <c r="K261" s="24"/>
      <c r="L261" s="25"/>
      <c r="M261" s="23"/>
      <c r="N261" s="24"/>
      <c r="O261" s="26"/>
      <c r="P261" s="27" t="str">
        <f t="shared" si="24"/>
        <v/>
      </c>
      <c r="Q261" s="28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/>
      <c r="EG261" s="22"/>
      <c r="EH261" s="22"/>
      <c r="EI261" s="22"/>
      <c r="EJ261" s="22"/>
      <c r="EK261" s="22"/>
      <c r="EL261" s="22"/>
      <c r="EM261" s="22"/>
      <c r="EN261" s="22"/>
      <c r="EO261" s="22"/>
      <c r="EP261" s="22"/>
      <c r="EQ261" s="22"/>
      <c r="ER261" s="22"/>
      <c r="ES261" s="22"/>
      <c r="ET261" s="22"/>
      <c r="EU261" s="22"/>
      <c r="EV261" s="22"/>
      <c r="EW261" s="22"/>
      <c r="EX261" s="22"/>
      <c r="EY261" s="22"/>
      <c r="EZ261" s="22"/>
      <c r="FA261" s="22"/>
      <c r="FB261" s="22"/>
      <c r="FC261" s="22"/>
      <c r="FD261" s="22"/>
      <c r="FE261" s="22"/>
      <c r="FF261" s="22"/>
      <c r="FG261" s="22"/>
      <c r="FH261" s="22"/>
      <c r="FI261" s="22"/>
      <c r="FJ261" s="22"/>
      <c r="FK261" s="22"/>
      <c r="FL261" s="22"/>
      <c r="FM261" s="22"/>
      <c r="FN261" s="22"/>
      <c r="FO261" s="22"/>
      <c r="FP261" s="22"/>
      <c r="FQ261" s="22"/>
      <c r="FR261" s="22"/>
      <c r="FS261" s="22"/>
      <c r="FT261" s="22"/>
      <c r="FU261" s="22"/>
      <c r="FV261" s="22"/>
      <c r="FW261" s="22"/>
      <c r="FX261" s="22"/>
      <c r="FY261" s="22"/>
      <c r="FZ261" s="22"/>
      <c r="GA261" s="22"/>
      <c r="GB261" s="22"/>
      <c r="GC261" s="22"/>
      <c r="GD261" s="22"/>
      <c r="GE261" s="22"/>
      <c r="GF261" s="22"/>
      <c r="GG261" s="22"/>
      <c r="GH261" s="22"/>
      <c r="GI261" s="22"/>
      <c r="GJ261" s="22"/>
      <c r="GK261" s="22"/>
      <c r="GL261" s="22"/>
      <c r="GM261" s="22"/>
      <c r="GN261" s="22"/>
      <c r="GO261" s="22"/>
      <c r="GP261" s="22"/>
      <c r="GQ261" s="22"/>
      <c r="GR261" s="22"/>
      <c r="GS261" s="22"/>
      <c r="GT261" s="22"/>
      <c r="GU261" s="22"/>
      <c r="GV261" s="22"/>
      <c r="GW261" s="22"/>
      <c r="GX261" s="22"/>
      <c r="GY261" s="22"/>
      <c r="GZ261" s="22"/>
      <c r="HA261" s="22"/>
      <c r="HB261" s="22"/>
      <c r="HC261" s="22"/>
      <c r="HD261" s="22"/>
      <c r="HE261" s="22"/>
      <c r="HF261" s="22"/>
      <c r="HG261" s="22"/>
      <c r="HH261" s="22"/>
      <c r="HI261" s="22"/>
      <c r="HJ261" s="22"/>
      <c r="HK261" s="22"/>
      <c r="HL261" s="22"/>
      <c r="HM261" s="22"/>
      <c r="HN261" s="22"/>
      <c r="HO261" s="22"/>
    </row>
    <row r="262" spans="2:223" ht="18" customHeight="1">
      <c r="B262" s="22"/>
      <c r="C262" s="22"/>
      <c r="D262" s="22"/>
      <c r="E262" s="83"/>
      <c r="F262" s="83"/>
      <c r="G262" s="106"/>
      <c r="H262" s="83"/>
      <c r="I262" s="111"/>
      <c r="J262" s="23"/>
      <c r="K262" s="24"/>
      <c r="L262" s="25"/>
      <c r="M262" s="23"/>
      <c r="N262" s="24"/>
      <c r="O262" s="26"/>
      <c r="P262" s="27" t="str">
        <f t="shared" si="24"/>
        <v/>
      </c>
      <c r="Q262" s="28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/>
      <c r="EG262" s="22"/>
      <c r="EH262" s="22"/>
      <c r="EI262" s="22"/>
      <c r="EJ262" s="22"/>
      <c r="EK262" s="22"/>
      <c r="EL262" s="22"/>
      <c r="EM262" s="22"/>
      <c r="EN262" s="22"/>
      <c r="EO262" s="22"/>
      <c r="EP262" s="22"/>
      <c r="EQ262" s="22"/>
      <c r="ER262" s="22"/>
      <c r="ES262" s="22"/>
      <c r="ET262" s="22"/>
      <c r="EU262" s="22"/>
      <c r="EV262" s="22"/>
      <c r="EW262" s="22"/>
      <c r="EX262" s="22"/>
      <c r="EY262" s="22"/>
      <c r="EZ262" s="22"/>
      <c r="FA262" s="22"/>
      <c r="FB262" s="22"/>
      <c r="FC262" s="22"/>
      <c r="FD262" s="22"/>
      <c r="FE262" s="22"/>
      <c r="FF262" s="22"/>
      <c r="FG262" s="22"/>
      <c r="FH262" s="22"/>
      <c r="FI262" s="22"/>
      <c r="FJ262" s="22"/>
      <c r="FK262" s="22"/>
      <c r="FL262" s="22"/>
      <c r="FM262" s="22"/>
      <c r="FN262" s="22"/>
      <c r="FO262" s="22"/>
      <c r="FP262" s="22"/>
      <c r="FQ262" s="22"/>
      <c r="FR262" s="22"/>
      <c r="FS262" s="22"/>
      <c r="FT262" s="22"/>
      <c r="FU262" s="22"/>
      <c r="FV262" s="22"/>
      <c r="FW262" s="22"/>
      <c r="FX262" s="22"/>
      <c r="FY262" s="22"/>
      <c r="FZ262" s="22"/>
      <c r="GA262" s="22"/>
      <c r="GB262" s="22"/>
      <c r="GC262" s="22"/>
      <c r="GD262" s="22"/>
      <c r="GE262" s="22"/>
      <c r="GF262" s="22"/>
      <c r="GG262" s="22"/>
      <c r="GH262" s="22"/>
      <c r="GI262" s="22"/>
      <c r="GJ262" s="22"/>
      <c r="GK262" s="22"/>
      <c r="GL262" s="22"/>
      <c r="GM262" s="22"/>
      <c r="GN262" s="22"/>
      <c r="GO262" s="22"/>
      <c r="GP262" s="22"/>
      <c r="GQ262" s="22"/>
      <c r="GR262" s="22"/>
      <c r="GS262" s="22"/>
      <c r="GT262" s="22"/>
      <c r="GU262" s="22"/>
      <c r="GV262" s="22"/>
      <c r="GW262" s="22"/>
      <c r="GX262" s="22"/>
      <c r="GY262" s="22"/>
      <c r="GZ262" s="22"/>
      <c r="HA262" s="22"/>
      <c r="HB262" s="22"/>
      <c r="HC262" s="22"/>
      <c r="HD262" s="22"/>
      <c r="HE262" s="22"/>
      <c r="HF262" s="22"/>
      <c r="HG262" s="22"/>
      <c r="HH262" s="22"/>
      <c r="HI262" s="22"/>
      <c r="HJ262" s="22"/>
      <c r="HK262" s="22"/>
      <c r="HL262" s="22"/>
      <c r="HM262" s="22"/>
      <c r="HN262" s="22"/>
      <c r="HO262" s="22"/>
    </row>
    <row r="263" spans="2:223" ht="18" customHeight="1">
      <c r="B263" s="22"/>
      <c r="C263" s="22"/>
      <c r="D263" s="22"/>
      <c r="E263" s="83"/>
      <c r="F263" s="83"/>
      <c r="G263" s="106"/>
      <c r="H263" s="83"/>
      <c r="I263" s="111"/>
      <c r="J263" s="23"/>
      <c r="K263" s="24"/>
      <c r="L263" s="25"/>
      <c r="M263" s="23"/>
      <c r="N263" s="24"/>
      <c r="O263" s="26"/>
      <c r="P263" s="27" t="str">
        <f t="shared" si="24"/>
        <v/>
      </c>
      <c r="Q263" s="28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/>
      <c r="EG263" s="22"/>
      <c r="EH263" s="22"/>
      <c r="EI263" s="22"/>
      <c r="EJ263" s="22"/>
      <c r="EK263" s="22"/>
      <c r="EL263" s="22"/>
      <c r="EM263" s="22"/>
      <c r="EN263" s="22"/>
      <c r="EO263" s="22"/>
      <c r="EP263" s="22"/>
      <c r="EQ263" s="22"/>
      <c r="ER263" s="22"/>
      <c r="ES263" s="22"/>
      <c r="ET263" s="22"/>
      <c r="EU263" s="22"/>
      <c r="EV263" s="22"/>
      <c r="EW263" s="22"/>
      <c r="EX263" s="22"/>
      <c r="EY263" s="22"/>
      <c r="EZ263" s="22"/>
      <c r="FA263" s="22"/>
      <c r="FB263" s="22"/>
      <c r="FC263" s="22"/>
      <c r="FD263" s="22"/>
      <c r="FE263" s="22"/>
      <c r="FF263" s="22"/>
      <c r="FG263" s="22"/>
      <c r="FH263" s="22"/>
      <c r="FI263" s="22"/>
      <c r="FJ263" s="22"/>
      <c r="FK263" s="22"/>
      <c r="FL263" s="22"/>
      <c r="FM263" s="22"/>
      <c r="FN263" s="22"/>
      <c r="FO263" s="22"/>
      <c r="FP263" s="22"/>
      <c r="FQ263" s="22"/>
      <c r="FR263" s="22"/>
      <c r="FS263" s="22"/>
      <c r="FT263" s="22"/>
      <c r="FU263" s="22"/>
      <c r="FV263" s="22"/>
      <c r="FW263" s="22"/>
      <c r="FX263" s="22"/>
      <c r="FY263" s="22"/>
      <c r="FZ263" s="22"/>
      <c r="GA263" s="22"/>
      <c r="GB263" s="22"/>
      <c r="GC263" s="22"/>
      <c r="GD263" s="22"/>
      <c r="GE263" s="22"/>
      <c r="GF263" s="22"/>
      <c r="GG263" s="22"/>
      <c r="GH263" s="22"/>
      <c r="GI263" s="22"/>
      <c r="GJ263" s="22"/>
      <c r="GK263" s="22"/>
      <c r="GL263" s="22"/>
      <c r="GM263" s="22"/>
      <c r="GN263" s="22"/>
      <c r="GO263" s="22"/>
      <c r="GP263" s="22"/>
      <c r="GQ263" s="22"/>
      <c r="GR263" s="22"/>
      <c r="GS263" s="22"/>
      <c r="GT263" s="22"/>
      <c r="GU263" s="22"/>
      <c r="GV263" s="22"/>
      <c r="GW263" s="22"/>
      <c r="GX263" s="22"/>
      <c r="GY263" s="22"/>
      <c r="GZ263" s="22"/>
      <c r="HA263" s="22"/>
      <c r="HB263" s="22"/>
      <c r="HC263" s="22"/>
      <c r="HD263" s="22"/>
      <c r="HE263" s="22"/>
      <c r="HF263" s="22"/>
      <c r="HG263" s="22"/>
      <c r="HH263" s="22"/>
      <c r="HI263" s="22"/>
      <c r="HJ263" s="22"/>
      <c r="HK263" s="22"/>
      <c r="HL263" s="22"/>
      <c r="HM263" s="22"/>
      <c r="HN263" s="22"/>
      <c r="HO263" s="22"/>
    </row>
    <row r="264" spans="2:223" ht="18" customHeight="1">
      <c r="B264" s="22"/>
      <c r="C264" s="22"/>
      <c r="D264" s="22"/>
      <c r="E264" s="83"/>
      <c r="F264" s="83"/>
      <c r="G264" s="106"/>
      <c r="H264" s="83"/>
      <c r="I264" s="111"/>
      <c r="J264" s="23"/>
      <c r="K264" s="24"/>
      <c r="L264" s="25"/>
      <c r="M264" s="23"/>
      <c r="N264" s="24"/>
      <c r="O264" s="26"/>
      <c r="P264" s="27" t="str">
        <f t="shared" si="24"/>
        <v/>
      </c>
      <c r="Q264" s="28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/>
      <c r="EG264" s="22"/>
      <c r="EH264" s="22"/>
      <c r="EI264" s="22"/>
      <c r="EJ264" s="22"/>
      <c r="EK264" s="22"/>
      <c r="EL264" s="22"/>
      <c r="EM264" s="22"/>
      <c r="EN264" s="22"/>
      <c r="EO264" s="22"/>
      <c r="EP264" s="22"/>
      <c r="EQ264" s="22"/>
      <c r="ER264" s="22"/>
      <c r="ES264" s="22"/>
      <c r="ET264" s="22"/>
      <c r="EU264" s="22"/>
      <c r="EV264" s="22"/>
      <c r="EW264" s="22"/>
      <c r="EX264" s="22"/>
      <c r="EY264" s="22"/>
      <c r="EZ264" s="22"/>
      <c r="FA264" s="22"/>
      <c r="FB264" s="22"/>
      <c r="FC264" s="22"/>
      <c r="FD264" s="22"/>
      <c r="FE264" s="22"/>
      <c r="FF264" s="22"/>
      <c r="FG264" s="22"/>
      <c r="FH264" s="22"/>
      <c r="FI264" s="22"/>
      <c r="FJ264" s="22"/>
      <c r="FK264" s="22"/>
      <c r="FL264" s="22"/>
      <c r="FM264" s="22"/>
      <c r="FN264" s="22"/>
      <c r="FO264" s="22"/>
      <c r="FP264" s="22"/>
      <c r="FQ264" s="22"/>
      <c r="FR264" s="22"/>
      <c r="FS264" s="22"/>
      <c r="FT264" s="22"/>
      <c r="FU264" s="22"/>
      <c r="FV264" s="22"/>
      <c r="FW264" s="22"/>
      <c r="FX264" s="22"/>
      <c r="FY264" s="22"/>
      <c r="FZ264" s="22"/>
      <c r="GA264" s="22"/>
      <c r="GB264" s="22"/>
      <c r="GC264" s="22"/>
      <c r="GD264" s="22"/>
      <c r="GE264" s="22"/>
      <c r="GF264" s="22"/>
      <c r="GG264" s="22"/>
      <c r="GH264" s="22"/>
      <c r="GI264" s="22"/>
      <c r="GJ264" s="22"/>
      <c r="GK264" s="22"/>
      <c r="GL264" s="22"/>
      <c r="GM264" s="22"/>
      <c r="GN264" s="22"/>
      <c r="GO264" s="22"/>
      <c r="GP264" s="22"/>
      <c r="GQ264" s="22"/>
      <c r="GR264" s="22"/>
      <c r="GS264" s="22"/>
      <c r="GT264" s="22"/>
      <c r="GU264" s="22"/>
      <c r="GV264" s="22"/>
      <c r="GW264" s="22"/>
      <c r="GX264" s="22"/>
      <c r="GY264" s="22"/>
      <c r="GZ264" s="22"/>
      <c r="HA264" s="22"/>
      <c r="HB264" s="22"/>
      <c r="HC264" s="22"/>
      <c r="HD264" s="22"/>
      <c r="HE264" s="22"/>
      <c r="HF264" s="22"/>
      <c r="HG264" s="22"/>
      <c r="HH264" s="22"/>
      <c r="HI264" s="22"/>
      <c r="HJ264" s="22"/>
      <c r="HK264" s="22"/>
      <c r="HL264" s="22"/>
      <c r="HM264" s="22"/>
      <c r="HN264" s="22"/>
      <c r="HO264" s="22"/>
    </row>
    <row r="265" spans="2:223" ht="18" customHeight="1">
      <c r="B265" s="22"/>
      <c r="C265" s="22"/>
      <c r="D265" s="22"/>
      <c r="E265" s="83"/>
      <c r="F265" s="83"/>
      <c r="G265" s="106"/>
      <c r="H265" s="83"/>
      <c r="I265" s="111"/>
      <c r="J265" s="23"/>
      <c r="K265" s="24"/>
      <c r="L265" s="25"/>
      <c r="M265" s="23"/>
      <c r="N265" s="24"/>
      <c r="O265" s="26"/>
      <c r="P265" s="27" t="str">
        <f t="shared" si="24"/>
        <v/>
      </c>
      <c r="Q265" s="28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/>
      <c r="EG265" s="22"/>
      <c r="EH265" s="22"/>
      <c r="EI265" s="22"/>
      <c r="EJ265" s="22"/>
      <c r="EK265" s="22"/>
      <c r="EL265" s="22"/>
      <c r="EM265" s="22"/>
      <c r="EN265" s="22"/>
      <c r="EO265" s="22"/>
      <c r="EP265" s="22"/>
      <c r="EQ265" s="22"/>
      <c r="ER265" s="22"/>
      <c r="ES265" s="22"/>
      <c r="ET265" s="22"/>
      <c r="EU265" s="22"/>
      <c r="EV265" s="22"/>
      <c r="EW265" s="22"/>
      <c r="EX265" s="22"/>
      <c r="EY265" s="22"/>
      <c r="EZ265" s="22"/>
      <c r="FA265" s="22"/>
      <c r="FB265" s="22"/>
      <c r="FC265" s="22"/>
      <c r="FD265" s="22"/>
      <c r="FE265" s="22"/>
      <c r="FF265" s="22"/>
      <c r="FG265" s="22"/>
      <c r="FH265" s="22"/>
      <c r="FI265" s="22"/>
      <c r="FJ265" s="22"/>
      <c r="FK265" s="22"/>
      <c r="FL265" s="22"/>
      <c r="FM265" s="22"/>
      <c r="FN265" s="22"/>
      <c r="FO265" s="22"/>
      <c r="FP265" s="22"/>
      <c r="FQ265" s="22"/>
      <c r="FR265" s="22"/>
      <c r="FS265" s="22"/>
      <c r="FT265" s="22"/>
      <c r="FU265" s="22"/>
      <c r="FV265" s="22"/>
      <c r="FW265" s="22"/>
      <c r="FX265" s="22"/>
      <c r="FY265" s="22"/>
      <c r="FZ265" s="22"/>
      <c r="GA265" s="22"/>
      <c r="GB265" s="22"/>
      <c r="GC265" s="22"/>
      <c r="GD265" s="22"/>
      <c r="GE265" s="22"/>
      <c r="GF265" s="22"/>
      <c r="GG265" s="22"/>
      <c r="GH265" s="22"/>
      <c r="GI265" s="22"/>
      <c r="GJ265" s="22"/>
      <c r="GK265" s="22"/>
      <c r="GL265" s="22"/>
      <c r="GM265" s="22"/>
      <c r="GN265" s="22"/>
      <c r="GO265" s="22"/>
      <c r="GP265" s="22"/>
      <c r="GQ265" s="22"/>
      <c r="GR265" s="22"/>
      <c r="GS265" s="22"/>
      <c r="GT265" s="22"/>
      <c r="GU265" s="22"/>
      <c r="GV265" s="22"/>
      <c r="GW265" s="22"/>
      <c r="GX265" s="22"/>
      <c r="GY265" s="22"/>
      <c r="GZ265" s="22"/>
      <c r="HA265" s="22"/>
      <c r="HB265" s="22"/>
      <c r="HC265" s="22"/>
      <c r="HD265" s="22"/>
      <c r="HE265" s="22"/>
      <c r="HF265" s="22"/>
      <c r="HG265" s="22"/>
      <c r="HH265" s="22"/>
      <c r="HI265" s="22"/>
      <c r="HJ265" s="22"/>
      <c r="HK265" s="22"/>
      <c r="HL265" s="22"/>
      <c r="HM265" s="22"/>
      <c r="HN265" s="22"/>
      <c r="HO265" s="22"/>
    </row>
    <row r="266" spans="2:223" ht="18" customHeight="1">
      <c r="B266" s="22"/>
      <c r="C266" s="22"/>
      <c r="D266" s="22"/>
      <c r="E266" s="83"/>
      <c r="F266" s="83"/>
      <c r="G266" s="106"/>
      <c r="H266" s="83"/>
      <c r="I266" s="111"/>
      <c r="J266" s="23"/>
      <c r="K266" s="24"/>
      <c r="L266" s="25"/>
      <c r="M266" s="23"/>
      <c r="N266" s="24"/>
      <c r="O266" s="26"/>
      <c r="P266" s="27" t="str">
        <f t="shared" si="24"/>
        <v/>
      </c>
      <c r="Q266" s="28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/>
      <c r="EG266" s="22"/>
      <c r="EH266" s="22"/>
      <c r="EI266" s="22"/>
      <c r="EJ266" s="22"/>
      <c r="EK266" s="22"/>
      <c r="EL266" s="22"/>
      <c r="EM266" s="22"/>
      <c r="EN266" s="22"/>
      <c r="EO266" s="22"/>
      <c r="EP266" s="22"/>
      <c r="EQ266" s="22"/>
      <c r="ER266" s="22"/>
      <c r="ES266" s="22"/>
      <c r="ET266" s="22"/>
      <c r="EU266" s="22"/>
      <c r="EV266" s="22"/>
      <c r="EW266" s="22"/>
      <c r="EX266" s="22"/>
      <c r="EY266" s="22"/>
      <c r="EZ266" s="22"/>
      <c r="FA266" s="22"/>
      <c r="FB266" s="22"/>
      <c r="FC266" s="22"/>
      <c r="FD266" s="22"/>
      <c r="FE266" s="22"/>
      <c r="FF266" s="22"/>
      <c r="FG266" s="22"/>
      <c r="FH266" s="22"/>
      <c r="FI266" s="22"/>
      <c r="FJ266" s="22"/>
      <c r="FK266" s="22"/>
      <c r="FL266" s="22"/>
      <c r="FM266" s="22"/>
      <c r="FN266" s="22"/>
      <c r="FO266" s="22"/>
      <c r="FP266" s="22"/>
      <c r="FQ266" s="22"/>
      <c r="FR266" s="22"/>
      <c r="FS266" s="22"/>
      <c r="FT266" s="22"/>
      <c r="FU266" s="22"/>
      <c r="FV266" s="22"/>
      <c r="FW266" s="22"/>
      <c r="FX266" s="22"/>
      <c r="FY266" s="22"/>
      <c r="FZ266" s="22"/>
      <c r="GA266" s="22"/>
      <c r="GB266" s="22"/>
      <c r="GC266" s="22"/>
      <c r="GD266" s="22"/>
      <c r="GE266" s="22"/>
      <c r="GF266" s="22"/>
      <c r="GG266" s="22"/>
      <c r="GH266" s="22"/>
      <c r="GI266" s="22"/>
      <c r="GJ266" s="22"/>
      <c r="GK266" s="22"/>
      <c r="GL266" s="22"/>
      <c r="GM266" s="22"/>
      <c r="GN266" s="22"/>
      <c r="GO266" s="22"/>
      <c r="GP266" s="22"/>
      <c r="GQ266" s="22"/>
      <c r="GR266" s="22"/>
      <c r="GS266" s="22"/>
      <c r="GT266" s="22"/>
      <c r="GU266" s="22"/>
      <c r="GV266" s="22"/>
      <c r="GW266" s="22"/>
      <c r="GX266" s="22"/>
      <c r="GY266" s="22"/>
      <c r="GZ266" s="22"/>
      <c r="HA266" s="22"/>
      <c r="HB266" s="22"/>
      <c r="HC266" s="22"/>
      <c r="HD266" s="22"/>
      <c r="HE266" s="22"/>
      <c r="HF266" s="22"/>
      <c r="HG266" s="22"/>
      <c r="HH266" s="22"/>
      <c r="HI266" s="22"/>
      <c r="HJ266" s="22"/>
      <c r="HK266" s="22"/>
      <c r="HL266" s="22"/>
      <c r="HM266" s="22"/>
      <c r="HN266" s="22"/>
      <c r="HO266" s="22"/>
    </row>
    <row r="267" spans="2:223" ht="18" customHeight="1">
      <c r="B267" s="22"/>
      <c r="C267" s="22"/>
      <c r="D267" s="22"/>
      <c r="E267" s="83"/>
      <c r="F267" s="83"/>
      <c r="G267" s="106"/>
      <c r="H267" s="83"/>
      <c r="I267" s="111"/>
      <c r="J267" s="23"/>
      <c r="K267" s="24"/>
      <c r="L267" s="25"/>
      <c r="M267" s="23"/>
      <c r="N267" s="24"/>
      <c r="O267" s="26"/>
      <c r="P267" s="27" t="str">
        <f t="shared" si="24"/>
        <v/>
      </c>
      <c r="Q267" s="28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/>
      <c r="EG267" s="22"/>
      <c r="EH267" s="22"/>
      <c r="EI267" s="22"/>
      <c r="EJ267" s="22"/>
      <c r="EK267" s="22"/>
      <c r="EL267" s="22"/>
      <c r="EM267" s="22"/>
      <c r="EN267" s="22"/>
      <c r="EO267" s="22"/>
      <c r="EP267" s="22"/>
      <c r="EQ267" s="22"/>
      <c r="ER267" s="22"/>
      <c r="ES267" s="22"/>
      <c r="ET267" s="22"/>
      <c r="EU267" s="22"/>
      <c r="EV267" s="22"/>
      <c r="EW267" s="22"/>
      <c r="EX267" s="22"/>
      <c r="EY267" s="22"/>
      <c r="EZ267" s="22"/>
      <c r="FA267" s="22"/>
      <c r="FB267" s="22"/>
      <c r="FC267" s="22"/>
      <c r="FD267" s="22"/>
      <c r="FE267" s="22"/>
      <c r="FF267" s="22"/>
      <c r="FG267" s="22"/>
      <c r="FH267" s="22"/>
      <c r="FI267" s="22"/>
      <c r="FJ267" s="22"/>
      <c r="FK267" s="22"/>
      <c r="FL267" s="22"/>
      <c r="FM267" s="22"/>
      <c r="FN267" s="22"/>
      <c r="FO267" s="22"/>
      <c r="FP267" s="22"/>
      <c r="FQ267" s="22"/>
      <c r="FR267" s="22"/>
      <c r="FS267" s="22"/>
      <c r="FT267" s="22"/>
      <c r="FU267" s="22"/>
      <c r="FV267" s="22"/>
      <c r="FW267" s="22"/>
      <c r="FX267" s="22"/>
      <c r="FY267" s="22"/>
      <c r="FZ267" s="22"/>
      <c r="GA267" s="22"/>
      <c r="GB267" s="22"/>
      <c r="GC267" s="22"/>
      <c r="GD267" s="22"/>
      <c r="GE267" s="22"/>
      <c r="GF267" s="22"/>
      <c r="GG267" s="22"/>
      <c r="GH267" s="22"/>
      <c r="GI267" s="22"/>
      <c r="GJ267" s="22"/>
      <c r="GK267" s="22"/>
      <c r="GL267" s="22"/>
      <c r="GM267" s="22"/>
      <c r="GN267" s="22"/>
      <c r="GO267" s="22"/>
      <c r="GP267" s="22"/>
      <c r="GQ267" s="22"/>
      <c r="GR267" s="22"/>
      <c r="GS267" s="22"/>
      <c r="GT267" s="22"/>
      <c r="GU267" s="22"/>
      <c r="GV267" s="22"/>
      <c r="GW267" s="22"/>
      <c r="GX267" s="22"/>
      <c r="GY267" s="22"/>
      <c r="GZ267" s="22"/>
      <c r="HA267" s="22"/>
      <c r="HB267" s="22"/>
      <c r="HC267" s="22"/>
      <c r="HD267" s="22"/>
      <c r="HE267" s="22"/>
      <c r="HF267" s="22"/>
      <c r="HG267" s="22"/>
      <c r="HH267" s="22"/>
      <c r="HI267" s="22"/>
      <c r="HJ267" s="22"/>
      <c r="HK267" s="22"/>
      <c r="HL267" s="22"/>
      <c r="HM267" s="22"/>
      <c r="HN267" s="22"/>
      <c r="HO267" s="22"/>
    </row>
    <row r="268" spans="2:223" ht="18" customHeight="1">
      <c r="B268" s="22"/>
      <c r="C268" s="22"/>
      <c r="D268" s="22"/>
      <c r="E268" s="83"/>
      <c r="F268" s="83"/>
      <c r="G268" s="106"/>
      <c r="H268" s="83"/>
      <c r="I268" s="111"/>
      <c r="J268" s="23"/>
      <c r="K268" s="24"/>
      <c r="L268" s="25"/>
      <c r="M268" s="23"/>
      <c r="N268" s="24"/>
      <c r="O268" s="26"/>
      <c r="P268" s="27" t="str">
        <f t="shared" si="24"/>
        <v/>
      </c>
      <c r="Q268" s="28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/>
      <c r="EG268" s="22"/>
      <c r="EH268" s="22"/>
      <c r="EI268" s="22"/>
      <c r="EJ268" s="22"/>
      <c r="EK268" s="22"/>
      <c r="EL268" s="22"/>
      <c r="EM268" s="22"/>
      <c r="EN268" s="22"/>
      <c r="EO268" s="22"/>
      <c r="EP268" s="22"/>
      <c r="EQ268" s="22"/>
      <c r="ER268" s="22"/>
      <c r="ES268" s="22"/>
      <c r="ET268" s="22"/>
      <c r="EU268" s="22"/>
      <c r="EV268" s="22"/>
      <c r="EW268" s="22"/>
      <c r="EX268" s="22"/>
      <c r="EY268" s="22"/>
      <c r="EZ268" s="22"/>
      <c r="FA268" s="22"/>
      <c r="FB268" s="22"/>
      <c r="FC268" s="22"/>
      <c r="FD268" s="22"/>
      <c r="FE268" s="22"/>
      <c r="FF268" s="22"/>
      <c r="FG268" s="22"/>
      <c r="FH268" s="22"/>
      <c r="FI268" s="22"/>
      <c r="FJ268" s="22"/>
      <c r="FK268" s="22"/>
      <c r="FL268" s="22"/>
      <c r="FM268" s="22"/>
      <c r="FN268" s="22"/>
      <c r="FO268" s="22"/>
      <c r="FP268" s="22"/>
      <c r="FQ268" s="22"/>
      <c r="FR268" s="22"/>
      <c r="FS268" s="22"/>
      <c r="FT268" s="22"/>
      <c r="FU268" s="22"/>
      <c r="FV268" s="22"/>
      <c r="FW268" s="22"/>
      <c r="FX268" s="22"/>
      <c r="FY268" s="22"/>
      <c r="FZ268" s="22"/>
      <c r="GA268" s="22"/>
      <c r="GB268" s="22"/>
      <c r="GC268" s="22"/>
      <c r="GD268" s="22"/>
      <c r="GE268" s="22"/>
      <c r="GF268" s="22"/>
      <c r="GG268" s="22"/>
      <c r="GH268" s="22"/>
      <c r="GI268" s="22"/>
      <c r="GJ268" s="22"/>
      <c r="GK268" s="22"/>
      <c r="GL268" s="22"/>
      <c r="GM268" s="22"/>
      <c r="GN268" s="22"/>
      <c r="GO268" s="22"/>
      <c r="GP268" s="22"/>
      <c r="GQ268" s="22"/>
      <c r="GR268" s="22"/>
      <c r="GS268" s="22"/>
      <c r="GT268" s="22"/>
      <c r="GU268" s="22"/>
      <c r="GV268" s="22"/>
      <c r="GW268" s="22"/>
      <c r="GX268" s="22"/>
      <c r="GY268" s="22"/>
      <c r="GZ268" s="22"/>
      <c r="HA268" s="22"/>
      <c r="HB268" s="22"/>
      <c r="HC268" s="22"/>
      <c r="HD268" s="22"/>
      <c r="HE268" s="22"/>
      <c r="HF268" s="22"/>
      <c r="HG268" s="22"/>
      <c r="HH268" s="22"/>
      <c r="HI268" s="22"/>
      <c r="HJ268" s="22"/>
      <c r="HK268" s="22"/>
      <c r="HL268" s="22"/>
      <c r="HM268" s="22"/>
      <c r="HN268" s="22"/>
      <c r="HO268" s="22"/>
    </row>
    <row r="269" spans="2:223" ht="18" customHeight="1">
      <c r="B269" s="22"/>
      <c r="C269" s="22"/>
      <c r="D269" s="22"/>
      <c r="E269" s="83"/>
      <c r="F269" s="83"/>
      <c r="G269" s="106"/>
      <c r="H269" s="83"/>
      <c r="I269" s="111"/>
      <c r="J269" s="23"/>
      <c r="K269" s="24"/>
      <c r="L269" s="25"/>
      <c r="M269" s="23"/>
      <c r="N269" s="24"/>
      <c r="O269" s="26"/>
      <c r="P269" s="27" t="str">
        <f t="shared" si="24"/>
        <v/>
      </c>
      <c r="Q269" s="28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/>
      <c r="EG269" s="22"/>
      <c r="EH269" s="22"/>
      <c r="EI269" s="22"/>
      <c r="EJ269" s="22"/>
      <c r="EK269" s="22"/>
      <c r="EL269" s="22"/>
      <c r="EM269" s="22"/>
      <c r="EN269" s="22"/>
      <c r="EO269" s="22"/>
      <c r="EP269" s="22"/>
      <c r="EQ269" s="22"/>
      <c r="ER269" s="22"/>
      <c r="ES269" s="22"/>
      <c r="ET269" s="22"/>
      <c r="EU269" s="22"/>
      <c r="EV269" s="22"/>
      <c r="EW269" s="22"/>
      <c r="EX269" s="22"/>
      <c r="EY269" s="22"/>
      <c r="EZ269" s="22"/>
      <c r="FA269" s="22"/>
      <c r="FB269" s="22"/>
      <c r="FC269" s="22"/>
      <c r="FD269" s="22"/>
      <c r="FE269" s="22"/>
      <c r="FF269" s="22"/>
      <c r="FG269" s="22"/>
      <c r="FH269" s="22"/>
      <c r="FI269" s="22"/>
      <c r="FJ269" s="22"/>
      <c r="FK269" s="22"/>
      <c r="FL269" s="22"/>
      <c r="FM269" s="22"/>
      <c r="FN269" s="22"/>
      <c r="FO269" s="22"/>
      <c r="FP269" s="22"/>
      <c r="FQ269" s="22"/>
      <c r="FR269" s="22"/>
      <c r="FS269" s="22"/>
      <c r="FT269" s="22"/>
      <c r="FU269" s="22"/>
      <c r="FV269" s="22"/>
      <c r="FW269" s="22"/>
      <c r="FX269" s="22"/>
      <c r="FY269" s="22"/>
      <c r="FZ269" s="22"/>
      <c r="GA269" s="22"/>
      <c r="GB269" s="22"/>
      <c r="GC269" s="22"/>
      <c r="GD269" s="22"/>
      <c r="GE269" s="22"/>
      <c r="GF269" s="22"/>
      <c r="GG269" s="22"/>
      <c r="GH269" s="22"/>
      <c r="GI269" s="22"/>
      <c r="GJ269" s="22"/>
      <c r="GK269" s="22"/>
      <c r="GL269" s="22"/>
      <c r="GM269" s="22"/>
      <c r="GN269" s="22"/>
      <c r="GO269" s="22"/>
      <c r="GP269" s="22"/>
      <c r="GQ269" s="22"/>
      <c r="GR269" s="22"/>
      <c r="GS269" s="22"/>
      <c r="GT269" s="22"/>
      <c r="GU269" s="22"/>
      <c r="GV269" s="22"/>
      <c r="GW269" s="22"/>
      <c r="GX269" s="22"/>
      <c r="GY269" s="22"/>
      <c r="GZ269" s="22"/>
      <c r="HA269" s="22"/>
      <c r="HB269" s="22"/>
      <c r="HC269" s="22"/>
      <c r="HD269" s="22"/>
      <c r="HE269" s="22"/>
      <c r="HF269" s="22"/>
      <c r="HG269" s="22"/>
      <c r="HH269" s="22"/>
      <c r="HI269" s="22"/>
      <c r="HJ269" s="22"/>
      <c r="HK269" s="22"/>
      <c r="HL269" s="22"/>
      <c r="HM269" s="22"/>
      <c r="HN269" s="22"/>
      <c r="HO269" s="22"/>
    </row>
    <row r="270" spans="2:223" ht="18" customHeight="1">
      <c r="B270" s="22"/>
      <c r="C270" s="22"/>
      <c r="D270" s="22"/>
      <c r="E270" s="83"/>
      <c r="F270" s="83"/>
      <c r="G270" s="106"/>
      <c r="H270" s="83"/>
      <c r="I270" s="111"/>
      <c r="J270" s="23"/>
      <c r="K270" s="24"/>
      <c r="L270" s="25"/>
      <c r="M270" s="23"/>
      <c r="N270" s="24"/>
      <c r="O270" s="26"/>
      <c r="P270" s="27" t="str">
        <f t="shared" si="24"/>
        <v/>
      </c>
      <c r="Q270" s="28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/>
      <c r="EG270" s="22"/>
      <c r="EH270" s="22"/>
      <c r="EI270" s="22"/>
      <c r="EJ270" s="22"/>
      <c r="EK270" s="22"/>
      <c r="EL270" s="22"/>
      <c r="EM270" s="22"/>
      <c r="EN270" s="22"/>
      <c r="EO270" s="22"/>
      <c r="EP270" s="22"/>
      <c r="EQ270" s="22"/>
      <c r="ER270" s="22"/>
      <c r="ES270" s="22"/>
      <c r="ET270" s="22"/>
      <c r="EU270" s="22"/>
      <c r="EV270" s="22"/>
      <c r="EW270" s="22"/>
      <c r="EX270" s="22"/>
      <c r="EY270" s="22"/>
      <c r="EZ270" s="22"/>
      <c r="FA270" s="22"/>
      <c r="FB270" s="22"/>
      <c r="FC270" s="22"/>
      <c r="FD270" s="22"/>
      <c r="FE270" s="22"/>
      <c r="FF270" s="22"/>
      <c r="FG270" s="22"/>
      <c r="FH270" s="22"/>
      <c r="FI270" s="22"/>
      <c r="FJ270" s="22"/>
      <c r="FK270" s="22"/>
      <c r="FL270" s="22"/>
      <c r="FM270" s="22"/>
      <c r="FN270" s="22"/>
      <c r="FO270" s="22"/>
      <c r="FP270" s="22"/>
      <c r="FQ270" s="22"/>
      <c r="FR270" s="22"/>
      <c r="FS270" s="22"/>
      <c r="FT270" s="22"/>
      <c r="FU270" s="22"/>
      <c r="FV270" s="22"/>
      <c r="FW270" s="22"/>
      <c r="FX270" s="22"/>
      <c r="FY270" s="22"/>
      <c r="FZ270" s="22"/>
      <c r="GA270" s="22"/>
      <c r="GB270" s="22"/>
      <c r="GC270" s="22"/>
      <c r="GD270" s="22"/>
      <c r="GE270" s="22"/>
      <c r="GF270" s="22"/>
      <c r="GG270" s="22"/>
      <c r="GH270" s="22"/>
      <c r="GI270" s="22"/>
      <c r="GJ270" s="22"/>
      <c r="GK270" s="22"/>
      <c r="GL270" s="22"/>
      <c r="GM270" s="22"/>
      <c r="GN270" s="22"/>
      <c r="GO270" s="22"/>
      <c r="GP270" s="22"/>
      <c r="GQ270" s="22"/>
      <c r="GR270" s="22"/>
      <c r="GS270" s="22"/>
      <c r="GT270" s="22"/>
      <c r="GU270" s="22"/>
      <c r="GV270" s="22"/>
      <c r="GW270" s="22"/>
      <c r="GX270" s="22"/>
      <c r="GY270" s="22"/>
      <c r="GZ270" s="22"/>
      <c r="HA270" s="22"/>
      <c r="HB270" s="22"/>
      <c r="HC270" s="22"/>
      <c r="HD270" s="22"/>
      <c r="HE270" s="22"/>
      <c r="HF270" s="22"/>
      <c r="HG270" s="22"/>
      <c r="HH270" s="22"/>
      <c r="HI270" s="22"/>
      <c r="HJ270" s="22"/>
      <c r="HK270" s="22"/>
      <c r="HL270" s="22"/>
      <c r="HM270" s="22"/>
      <c r="HN270" s="22"/>
      <c r="HO270" s="22"/>
    </row>
    <row r="271" spans="2:223" ht="18" customHeight="1">
      <c r="B271" s="22"/>
      <c r="C271" s="22"/>
      <c r="D271" s="22"/>
      <c r="E271" s="83"/>
      <c r="F271" s="83"/>
      <c r="G271" s="106"/>
      <c r="H271" s="83"/>
      <c r="I271" s="111"/>
      <c r="J271" s="23"/>
      <c r="K271" s="24"/>
      <c r="L271" s="25"/>
      <c r="M271" s="23"/>
      <c r="N271" s="24"/>
      <c r="O271" s="26"/>
      <c r="P271" s="27" t="str">
        <f t="shared" si="24"/>
        <v/>
      </c>
      <c r="Q271" s="28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/>
      <c r="EG271" s="22"/>
      <c r="EH271" s="22"/>
      <c r="EI271" s="22"/>
      <c r="EJ271" s="22"/>
      <c r="EK271" s="22"/>
      <c r="EL271" s="22"/>
      <c r="EM271" s="22"/>
      <c r="EN271" s="22"/>
      <c r="EO271" s="22"/>
      <c r="EP271" s="22"/>
      <c r="EQ271" s="22"/>
      <c r="ER271" s="22"/>
      <c r="ES271" s="22"/>
      <c r="ET271" s="22"/>
      <c r="EU271" s="22"/>
      <c r="EV271" s="22"/>
      <c r="EW271" s="22"/>
      <c r="EX271" s="22"/>
      <c r="EY271" s="22"/>
      <c r="EZ271" s="22"/>
      <c r="FA271" s="22"/>
      <c r="FB271" s="22"/>
      <c r="FC271" s="22"/>
      <c r="FD271" s="22"/>
      <c r="FE271" s="22"/>
      <c r="FF271" s="22"/>
      <c r="FG271" s="22"/>
      <c r="FH271" s="22"/>
      <c r="FI271" s="22"/>
      <c r="FJ271" s="22"/>
      <c r="FK271" s="22"/>
      <c r="FL271" s="22"/>
      <c r="FM271" s="22"/>
      <c r="FN271" s="22"/>
      <c r="FO271" s="22"/>
      <c r="FP271" s="22"/>
      <c r="FQ271" s="22"/>
      <c r="FR271" s="22"/>
      <c r="FS271" s="22"/>
      <c r="FT271" s="22"/>
      <c r="FU271" s="22"/>
      <c r="FV271" s="22"/>
      <c r="FW271" s="22"/>
      <c r="FX271" s="22"/>
      <c r="FY271" s="22"/>
      <c r="FZ271" s="22"/>
      <c r="GA271" s="22"/>
      <c r="GB271" s="22"/>
      <c r="GC271" s="22"/>
      <c r="GD271" s="22"/>
      <c r="GE271" s="22"/>
      <c r="GF271" s="22"/>
      <c r="GG271" s="22"/>
      <c r="GH271" s="22"/>
      <c r="GI271" s="22"/>
      <c r="GJ271" s="22"/>
      <c r="GK271" s="22"/>
      <c r="GL271" s="22"/>
      <c r="GM271" s="22"/>
      <c r="GN271" s="22"/>
      <c r="GO271" s="22"/>
      <c r="GP271" s="22"/>
      <c r="GQ271" s="22"/>
      <c r="GR271" s="22"/>
      <c r="GS271" s="22"/>
      <c r="GT271" s="22"/>
      <c r="GU271" s="22"/>
      <c r="GV271" s="22"/>
      <c r="GW271" s="22"/>
      <c r="GX271" s="22"/>
      <c r="GY271" s="22"/>
      <c r="GZ271" s="22"/>
      <c r="HA271" s="22"/>
      <c r="HB271" s="22"/>
      <c r="HC271" s="22"/>
      <c r="HD271" s="22"/>
      <c r="HE271" s="22"/>
      <c r="HF271" s="22"/>
      <c r="HG271" s="22"/>
      <c r="HH271" s="22"/>
      <c r="HI271" s="22"/>
      <c r="HJ271" s="22"/>
      <c r="HK271" s="22"/>
      <c r="HL271" s="22"/>
      <c r="HM271" s="22"/>
      <c r="HN271" s="22"/>
      <c r="HO271" s="22"/>
    </row>
    <row r="272" spans="2:223" ht="18" customHeight="1">
      <c r="B272" s="22"/>
      <c r="C272" s="22"/>
      <c r="D272" s="22"/>
      <c r="E272" s="83"/>
      <c r="F272" s="83"/>
      <c r="G272" s="106"/>
      <c r="H272" s="83"/>
      <c r="I272" s="111"/>
      <c r="J272" s="23"/>
      <c r="K272" s="24"/>
      <c r="L272" s="25"/>
      <c r="M272" s="23"/>
      <c r="N272" s="24"/>
      <c r="O272" s="26"/>
      <c r="P272" s="27" t="str">
        <f t="shared" si="24"/>
        <v/>
      </c>
      <c r="Q272" s="28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22"/>
      <c r="EF272" s="22"/>
      <c r="EG272" s="22"/>
      <c r="EH272" s="22"/>
      <c r="EI272" s="22"/>
      <c r="EJ272" s="22"/>
      <c r="EK272" s="22"/>
      <c r="EL272" s="22"/>
      <c r="EM272" s="22"/>
      <c r="EN272" s="22"/>
      <c r="EO272" s="22"/>
      <c r="EP272" s="22"/>
      <c r="EQ272" s="22"/>
      <c r="ER272" s="22"/>
      <c r="ES272" s="22"/>
      <c r="ET272" s="22"/>
      <c r="EU272" s="22"/>
      <c r="EV272" s="22"/>
      <c r="EW272" s="22"/>
      <c r="EX272" s="22"/>
      <c r="EY272" s="22"/>
      <c r="EZ272" s="22"/>
      <c r="FA272" s="22"/>
      <c r="FB272" s="22"/>
      <c r="FC272" s="22"/>
      <c r="FD272" s="22"/>
      <c r="FE272" s="22"/>
      <c r="FF272" s="22"/>
      <c r="FG272" s="22"/>
      <c r="FH272" s="22"/>
      <c r="FI272" s="22"/>
      <c r="FJ272" s="22"/>
      <c r="FK272" s="22"/>
      <c r="FL272" s="22"/>
      <c r="FM272" s="22"/>
      <c r="FN272" s="22"/>
      <c r="FO272" s="22"/>
      <c r="FP272" s="22"/>
      <c r="FQ272" s="22"/>
      <c r="FR272" s="22"/>
      <c r="FS272" s="22"/>
      <c r="FT272" s="22"/>
      <c r="FU272" s="22"/>
      <c r="FV272" s="22"/>
      <c r="FW272" s="22"/>
      <c r="FX272" s="22"/>
      <c r="FY272" s="22"/>
      <c r="FZ272" s="22"/>
      <c r="GA272" s="22"/>
      <c r="GB272" s="22"/>
      <c r="GC272" s="22"/>
      <c r="GD272" s="22"/>
      <c r="GE272" s="22"/>
      <c r="GF272" s="22"/>
      <c r="GG272" s="22"/>
      <c r="GH272" s="22"/>
      <c r="GI272" s="22"/>
      <c r="GJ272" s="22"/>
      <c r="GK272" s="22"/>
      <c r="GL272" s="22"/>
      <c r="GM272" s="22"/>
      <c r="GN272" s="22"/>
      <c r="GO272" s="22"/>
      <c r="GP272" s="22"/>
      <c r="GQ272" s="22"/>
      <c r="GR272" s="22"/>
      <c r="GS272" s="22"/>
      <c r="GT272" s="22"/>
      <c r="GU272" s="22"/>
      <c r="GV272" s="22"/>
      <c r="GW272" s="22"/>
      <c r="GX272" s="22"/>
      <c r="GY272" s="22"/>
      <c r="GZ272" s="22"/>
      <c r="HA272" s="22"/>
      <c r="HB272" s="22"/>
      <c r="HC272" s="22"/>
      <c r="HD272" s="22"/>
      <c r="HE272" s="22"/>
      <c r="HF272" s="22"/>
      <c r="HG272" s="22"/>
      <c r="HH272" s="22"/>
      <c r="HI272" s="22"/>
      <c r="HJ272" s="22"/>
      <c r="HK272" s="22"/>
      <c r="HL272" s="22"/>
      <c r="HM272" s="22"/>
      <c r="HN272" s="22"/>
      <c r="HO272" s="22"/>
    </row>
    <row r="273" spans="2:223" ht="18" customHeight="1">
      <c r="B273" s="22"/>
      <c r="C273" s="22"/>
      <c r="D273" s="22"/>
      <c r="E273" s="83"/>
      <c r="F273" s="83"/>
      <c r="G273" s="106"/>
      <c r="H273" s="83"/>
      <c r="I273" s="111"/>
      <c r="J273" s="23"/>
      <c r="K273" s="24"/>
      <c r="L273" s="25"/>
      <c r="M273" s="23"/>
      <c r="N273" s="24"/>
      <c r="O273" s="26"/>
      <c r="P273" s="27" t="str">
        <f t="shared" si="24"/>
        <v/>
      </c>
      <c r="Q273" s="28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22"/>
      <c r="EF273" s="22"/>
      <c r="EG273" s="22"/>
      <c r="EH273" s="22"/>
      <c r="EI273" s="22"/>
      <c r="EJ273" s="22"/>
      <c r="EK273" s="22"/>
      <c r="EL273" s="22"/>
      <c r="EM273" s="22"/>
      <c r="EN273" s="22"/>
      <c r="EO273" s="22"/>
      <c r="EP273" s="22"/>
      <c r="EQ273" s="22"/>
      <c r="ER273" s="22"/>
      <c r="ES273" s="22"/>
      <c r="ET273" s="22"/>
      <c r="EU273" s="22"/>
      <c r="EV273" s="22"/>
      <c r="EW273" s="22"/>
      <c r="EX273" s="22"/>
      <c r="EY273" s="22"/>
      <c r="EZ273" s="22"/>
      <c r="FA273" s="22"/>
      <c r="FB273" s="22"/>
      <c r="FC273" s="22"/>
      <c r="FD273" s="22"/>
      <c r="FE273" s="22"/>
      <c r="FF273" s="22"/>
      <c r="FG273" s="22"/>
      <c r="FH273" s="22"/>
      <c r="FI273" s="22"/>
      <c r="FJ273" s="22"/>
      <c r="FK273" s="22"/>
      <c r="FL273" s="22"/>
      <c r="FM273" s="22"/>
      <c r="FN273" s="22"/>
      <c r="FO273" s="22"/>
      <c r="FP273" s="22"/>
      <c r="FQ273" s="22"/>
      <c r="FR273" s="22"/>
      <c r="FS273" s="22"/>
      <c r="FT273" s="22"/>
      <c r="FU273" s="22"/>
      <c r="FV273" s="22"/>
      <c r="FW273" s="22"/>
      <c r="FX273" s="22"/>
      <c r="FY273" s="22"/>
      <c r="FZ273" s="22"/>
      <c r="GA273" s="22"/>
      <c r="GB273" s="22"/>
      <c r="GC273" s="22"/>
      <c r="GD273" s="22"/>
      <c r="GE273" s="22"/>
      <c r="GF273" s="22"/>
      <c r="GG273" s="22"/>
      <c r="GH273" s="22"/>
      <c r="GI273" s="22"/>
      <c r="GJ273" s="22"/>
      <c r="GK273" s="22"/>
      <c r="GL273" s="22"/>
      <c r="GM273" s="22"/>
      <c r="GN273" s="22"/>
      <c r="GO273" s="22"/>
      <c r="GP273" s="22"/>
      <c r="GQ273" s="22"/>
      <c r="GR273" s="22"/>
      <c r="GS273" s="22"/>
      <c r="GT273" s="22"/>
      <c r="GU273" s="22"/>
      <c r="GV273" s="22"/>
      <c r="GW273" s="22"/>
      <c r="GX273" s="22"/>
      <c r="GY273" s="22"/>
      <c r="GZ273" s="22"/>
      <c r="HA273" s="22"/>
      <c r="HB273" s="22"/>
      <c r="HC273" s="22"/>
      <c r="HD273" s="22"/>
      <c r="HE273" s="22"/>
      <c r="HF273" s="22"/>
      <c r="HG273" s="22"/>
      <c r="HH273" s="22"/>
      <c r="HI273" s="22"/>
      <c r="HJ273" s="22"/>
      <c r="HK273" s="22"/>
      <c r="HL273" s="22"/>
      <c r="HM273" s="22"/>
      <c r="HN273" s="22"/>
      <c r="HO273" s="22"/>
    </row>
    <row r="274" spans="2:223" ht="18" customHeight="1">
      <c r="B274" s="22"/>
      <c r="C274" s="22"/>
      <c r="D274" s="22"/>
      <c r="E274" s="83"/>
      <c r="F274" s="83"/>
      <c r="G274" s="106"/>
      <c r="H274" s="83"/>
      <c r="I274" s="111"/>
      <c r="J274" s="23"/>
      <c r="K274" s="24"/>
      <c r="L274" s="25"/>
      <c r="M274" s="23"/>
      <c r="N274" s="24"/>
      <c r="O274" s="26"/>
      <c r="P274" s="27" t="str">
        <f t="shared" si="24"/>
        <v/>
      </c>
      <c r="Q274" s="28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22"/>
      <c r="EF274" s="22"/>
      <c r="EG274" s="22"/>
      <c r="EH274" s="22"/>
      <c r="EI274" s="22"/>
      <c r="EJ274" s="22"/>
      <c r="EK274" s="22"/>
      <c r="EL274" s="22"/>
      <c r="EM274" s="22"/>
      <c r="EN274" s="22"/>
      <c r="EO274" s="22"/>
      <c r="EP274" s="22"/>
      <c r="EQ274" s="22"/>
      <c r="ER274" s="22"/>
      <c r="ES274" s="22"/>
      <c r="ET274" s="22"/>
      <c r="EU274" s="22"/>
      <c r="EV274" s="22"/>
      <c r="EW274" s="22"/>
      <c r="EX274" s="22"/>
      <c r="EY274" s="22"/>
      <c r="EZ274" s="22"/>
      <c r="FA274" s="22"/>
      <c r="FB274" s="22"/>
      <c r="FC274" s="22"/>
      <c r="FD274" s="22"/>
      <c r="FE274" s="22"/>
      <c r="FF274" s="22"/>
      <c r="FG274" s="22"/>
      <c r="FH274" s="22"/>
      <c r="FI274" s="22"/>
      <c r="FJ274" s="22"/>
      <c r="FK274" s="22"/>
      <c r="FL274" s="22"/>
      <c r="FM274" s="22"/>
      <c r="FN274" s="22"/>
      <c r="FO274" s="22"/>
      <c r="FP274" s="22"/>
      <c r="FQ274" s="22"/>
      <c r="FR274" s="22"/>
      <c r="FS274" s="22"/>
      <c r="FT274" s="22"/>
      <c r="FU274" s="22"/>
      <c r="FV274" s="22"/>
      <c r="FW274" s="22"/>
      <c r="FX274" s="22"/>
      <c r="FY274" s="22"/>
      <c r="FZ274" s="22"/>
      <c r="GA274" s="22"/>
      <c r="GB274" s="22"/>
      <c r="GC274" s="22"/>
      <c r="GD274" s="22"/>
      <c r="GE274" s="22"/>
      <c r="GF274" s="22"/>
      <c r="GG274" s="22"/>
      <c r="GH274" s="22"/>
      <c r="GI274" s="22"/>
      <c r="GJ274" s="22"/>
      <c r="GK274" s="22"/>
      <c r="GL274" s="22"/>
      <c r="GM274" s="22"/>
      <c r="GN274" s="22"/>
      <c r="GO274" s="22"/>
      <c r="GP274" s="22"/>
      <c r="GQ274" s="22"/>
      <c r="GR274" s="22"/>
      <c r="GS274" s="22"/>
      <c r="GT274" s="22"/>
      <c r="GU274" s="22"/>
      <c r="GV274" s="22"/>
      <c r="GW274" s="22"/>
      <c r="GX274" s="22"/>
      <c r="GY274" s="22"/>
      <c r="GZ274" s="22"/>
      <c r="HA274" s="22"/>
      <c r="HB274" s="22"/>
      <c r="HC274" s="22"/>
      <c r="HD274" s="22"/>
      <c r="HE274" s="22"/>
      <c r="HF274" s="22"/>
      <c r="HG274" s="22"/>
      <c r="HH274" s="22"/>
      <c r="HI274" s="22"/>
      <c r="HJ274" s="22"/>
      <c r="HK274" s="22"/>
      <c r="HL274" s="22"/>
      <c r="HM274" s="22"/>
      <c r="HN274" s="22"/>
      <c r="HO274" s="22"/>
    </row>
    <row r="275" spans="2:223" ht="18" customHeight="1">
      <c r="B275" s="22"/>
      <c r="C275" s="22"/>
      <c r="D275" s="22"/>
      <c r="E275" s="83"/>
      <c r="F275" s="83"/>
      <c r="G275" s="106"/>
      <c r="H275" s="83"/>
      <c r="I275" s="111"/>
      <c r="J275" s="23"/>
      <c r="K275" s="24"/>
      <c r="L275" s="25"/>
      <c r="M275" s="23"/>
      <c r="N275" s="24"/>
      <c r="O275" s="26"/>
      <c r="P275" s="27" t="str">
        <f t="shared" si="24"/>
        <v/>
      </c>
      <c r="Q275" s="28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2"/>
      <c r="EE275" s="22"/>
      <c r="EF275" s="22"/>
      <c r="EG275" s="22"/>
      <c r="EH275" s="22"/>
      <c r="EI275" s="22"/>
      <c r="EJ275" s="22"/>
      <c r="EK275" s="22"/>
      <c r="EL275" s="22"/>
      <c r="EM275" s="22"/>
      <c r="EN275" s="22"/>
      <c r="EO275" s="22"/>
      <c r="EP275" s="22"/>
      <c r="EQ275" s="22"/>
      <c r="ER275" s="22"/>
      <c r="ES275" s="22"/>
      <c r="ET275" s="22"/>
      <c r="EU275" s="22"/>
      <c r="EV275" s="22"/>
      <c r="EW275" s="22"/>
      <c r="EX275" s="22"/>
      <c r="EY275" s="22"/>
      <c r="EZ275" s="22"/>
      <c r="FA275" s="22"/>
      <c r="FB275" s="22"/>
      <c r="FC275" s="22"/>
      <c r="FD275" s="22"/>
      <c r="FE275" s="22"/>
      <c r="FF275" s="22"/>
      <c r="FG275" s="22"/>
      <c r="FH275" s="22"/>
      <c r="FI275" s="22"/>
      <c r="FJ275" s="22"/>
      <c r="FK275" s="22"/>
      <c r="FL275" s="22"/>
      <c r="FM275" s="22"/>
      <c r="FN275" s="22"/>
      <c r="FO275" s="22"/>
      <c r="FP275" s="22"/>
      <c r="FQ275" s="22"/>
      <c r="FR275" s="22"/>
      <c r="FS275" s="22"/>
      <c r="FT275" s="22"/>
      <c r="FU275" s="22"/>
      <c r="FV275" s="22"/>
      <c r="FW275" s="22"/>
      <c r="FX275" s="22"/>
      <c r="FY275" s="22"/>
      <c r="FZ275" s="22"/>
      <c r="GA275" s="22"/>
      <c r="GB275" s="22"/>
      <c r="GC275" s="22"/>
      <c r="GD275" s="22"/>
      <c r="GE275" s="22"/>
      <c r="GF275" s="22"/>
      <c r="GG275" s="22"/>
      <c r="GH275" s="22"/>
      <c r="GI275" s="22"/>
      <c r="GJ275" s="22"/>
      <c r="GK275" s="22"/>
      <c r="GL275" s="22"/>
      <c r="GM275" s="22"/>
      <c r="GN275" s="22"/>
      <c r="GO275" s="22"/>
      <c r="GP275" s="22"/>
      <c r="GQ275" s="22"/>
      <c r="GR275" s="22"/>
      <c r="GS275" s="22"/>
      <c r="GT275" s="22"/>
      <c r="GU275" s="22"/>
      <c r="GV275" s="22"/>
      <c r="GW275" s="22"/>
      <c r="GX275" s="22"/>
      <c r="GY275" s="22"/>
      <c r="GZ275" s="22"/>
      <c r="HA275" s="22"/>
      <c r="HB275" s="22"/>
      <c r="HC275" s="22"/>
      <c r="HD275" s="22"/>
      <c r="HE275" s="22"/>
      <c r="HF275" s="22"/>
      <c r="HG275" s="22"/>
      <c r="HH275" s="22"/>
      <c r="HI275" s="22"/>
      <c r="HJ275" s="22"/>
      <c r="HK275" s="22"/>
      <c r="HL275" s="22"/>
      <c r="HM275" s="22"/>
      <c r="HN275" s="22"/>
      <c r="HO275" s="22"/>
    </row>
    <row r="276" spans="2:223" ht="18" customHeight="1">
      <c r="B276" s="22"/>
      <c r="C276" s="22"/>
      <c r="D276" s="22"/>
      <c r="E276" s="83"/>
      <c r="F276" s="83"/>
      <c r="G276" s="106"/>
      <c r="H276" s="83"/>
      <c r="I276" s="111"/>
      <c r="J276" s="23"/>
      <c r="K276" s="24"/>
      <c r="L276" s="25"/>
      <c r="M276" s="23"/>
      <c r="N276" s="24"/>
      <c r="O276" s="26"/>
      <c r="P276" s="27" t="str">
        <f t="shared" si="24"/>
        <v/>
      </c>
      <c r="Q276" s="28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22"/>
      <c r="EF276" s="22"/>
      <c r="EG276" s="22"/>
      <c r="EH276" s="22"/>
      <c r="EI276" s="22"/>
      <c r="EJ276" s="22"/>
      <c r="EK276" s="22"/>
      <c r="EL276" s="22"/>
      <c r="EM276" s="22"/>
      <c r="EN276" s="22"/>
      <c r="EO276" s="22"/>
      <c r="EP276" s="22"/>
      <c r="EQ276" s="22"/>
      <c r="ER276" s="22"/>
      <c r="ES276" s="22"/>
      <c r="ET276" s="22"/>
      <c r="EU276" s="22"/>
      <c r="EV276" s="22"/>
      <c r="EW276" s="22"/>
      <c r="EX276" s="22"/>
      <c r="EY276" s="22"/>
      <c r="EZ276" s="22"/>
      <c r="FA276" s="22"/>
      <c r="FB276" s="22"/>
      <c r="FC276" s="22"/>
      <c r="FD276" s="22"/>
      <c r="FE276" s="22"/>
      <c r="FF276" s="22"/>
      <c r="FG276" s="22"/>
      <c r="FH276" s="22"/>
      <c r="FI276" s="22"/>
      <c r="FJ276" s="22"/>
      <c r="FK276" s="22"/>
      <c r="FL276" s="22"/>
      <c r="FM276" s="22"/>
      <c r="FN276" s="22"/>
      <c r="FO276" s="22"/>
      <c r="FP276" s="22"/>
      <c r="FQ276" s="22"/>
      <c r="FR276" s="22"/>
      <c r="FS276" s="22"/>
      <c r="FT276" s="22"/>
      <c r="FU276" s="22"/>
      <c r="FV276" s="22"/>
      <c r="FW276" s="22"/>
      <c r="FX276" s="22"/>
      <c r="FY276" s="22"/>
      <c r="FZ276" s="22"/>
      <c r="GA276" s="22"/>
      <c r="GB276" s="22"/>
      <c r="GC276" s="22"/>
      <c r="GD276" s="22"/>
      <c r="GE276" s="22"/>
      <c r="GF276" s="22"/>
      <c r="GG276" s="22"/>
      <c r="GH276" s="22"/>
      <c r="GI276" s="22"/>
      <c r="GJ276" s="22"/>
      <c r="GK276" s="22"/>
      <c r="GL276" s="22"/>
      <c r="GM276" s="22"/>
      <c r="GN276" s="22"/>
      <c r="GO276" s="22"/>
      <c r="GP276" s="22"/>
      <c r="GQ276" s="22"/>
      <c r="GR276" s="22"/>
      <c r="GS276" s="22"/>
      <c r="GT276" s="22"/>
      <c r="GU276" s="22"/>
      <c r="GV276" s="22"/>
      <c r="GW276" s="22"/>
      <c r="GX276" s="22"/>
      <c r="GY276" s="22"/>
      <c r="GZ276" s="22"/>
      <c r="HA276" s="22"/>
      <c r="HB276" s="22"/>
      <c r="HC276" s="22"/>
      <c r="HD276" s="22"/>
      <c r="HE276" s="22"/>
      <c r="HF276" s="22"/>
      <c r="HG276" s="22"/>
      <c r="HH276" s="22"/>
      <c r="HI276" s="22"/>
      <c r="HJ276" s="22"/>
      <c r="HK276" s="22"/>
      <c r="HL276" s="22"/>
      <c r="HM276" s="22"/>
      <c r="HN276" s="22"/>
      <c r="HO276" s="22"/>
    </row>
    <row r="277" spans="2:223" ht="18" customHeight="1">
      <c r="B277" s="22"/>
      <c r="C277" s="22"/>
      <c r="D277" s="22"/>
      <c r="E277" s="83"/>
      <c r="F277" s="83"/>
      <c r="G277" s="106"/>
      <c r="H277" s="83"/>
      <c r="I277" s="111"/>
      <c r="J277" s="23"/>
      <c r="K277" s="24"/>
      <c r="L277" s="25"/>
      <c r="M277" s="23"/>
      <c r="N277" s="24"/>
      <c r="O277" s="26"/>
      <c r="P277" s="27" t="str">
        <f t="shared" si="24"/>
        <v/>
      </c>
      <c r="Q277" s="28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2"/>
      <c r="EE277" s="22"/>
      <c r="EF277" s="22"/>
      <c r="EG277" s="22"/>
      <c r="EH277" s="22"/>
      <c r="EI277" s="22"/>
      <c r="EJ277" s="22"/>
      <c r="EK277" s="22"/>
      <c r="EL277" s="22"/>
      <c r="EM277" s="22"/>
      <c r="EN277" s="22"/>
      <c r="EO277" s="22"/>
      <c r="EP277" s="22"/>
      <c r="EQ277" s="22"/>
      <c r="ER277" s="22"/>
      <c r="ES277" s="22"/>
      <c r="ET277" s="22"/>
      <c r="EU277" s="22"/>
      <c r="EV277" s="22"/>
      <c r="EW277" s="22"/>
      <c r="EX277" s="22"/>
      <c r="EY277" s="22"/>
      <c r="EZ277" s="22"/>
      <c r="FA277" s="22"/>
      <c r="FB277" s="22"/>
      <c r="FC277" s="22"/>
      <c r="FD277" s="22"/>
      <c r="FE277" s="22"/>
      <c r="FF277" s="22"/>
      <c r="FG277" s="22"/>
      <c r="FH277" s="22"/>
      <c r="FI277" s="22"/>
      <c r="FJ277" s="22"/>
      <c r="FK277" s="22"/>
      <c r="FL277" s="22"/>
      <c r="FM277" s="22"/>
      <c r="FN277" s="22"/>
      <c r="FO277" s="22"/>
      <c r="FP277" s="22"/>
      <c r="FQ277" s="22"/>
      <c r="FR277" s="22"/>
      <c r="FS277" s="22"/>
      <c r="FT277" s="22"/>
      <c r="FU277" s="22"/>
      <c r="FV277" s="22"/>
      <c r="FW277" s="22"/>
      <c r="FX277" s="22"/>
      <c r="FY277" s="22"/>
      <c r="FZ277" s="22"/>
      <c r="GA277" s="22"/>
      <c r="GB277" s="22"/>
      <c r="GC277" s="22"/>
      <c r="GD277" s="22"/>
      <c r="GE277" s="22"/>
      <c r="GF277" s="22"/>
      <c r="GG277" s="22"/>
      <c r="GH277" s="22"/>
      <c r="GI277" s="22"/>
      <c r="GJ277" s="22"/>
      <c r="GK277" s="22"/>
      <c r="GL277" s="22"/>
      <c r="GM277" s="22"/>
      <c r="GN277" s="22"/>
      <c r="GO277" s="22"/>
      <c r="GP277" s="22"/>
      <c r="GQ277" s="22"/>
      <c r="GR277" s="22"/>
      <c r="GS277" s="22"/>
      <c r="GT277" s="22"/>
      <c r="GU277" s="22"/>
      <c r="GV277" s="22"/>
      <c r="GW277" s="22"/>
      <c r="GX277" s="22"/>
      <c r="GY277" s="22"/>
      <c r="GZ277" s="22"/>
      <c r="HA277" s="22"/>
      <c r="HB277" s="22"/>
      <c r="HC277" s="22"/>
      <c r="HD277" s="22"/>
      <c r="HE277" s="22"/>
      <c r="HF277" s="22"/>
      <c r="HG277" s="22"/>
      <c r="HH277" s="22"/>
      <c r="HI277" s="22"/>
      <c r="HJ277" s="22"/>
      <c r="HK277" s="22"/>
      <c r="HL277" s="22"/>
      <c r="HM277" s="22"/>
      <c r="HN277" s="22"/>
      <c r="HO277" s="22"/>
    </row>
    <row r="278" spans="2:223" ht="18" customHeight="1">
      <c r="B278" s="22"/>
      <c r="C278" s="22"/>
      <c r="D278" s="22"/>
      <c r="E278" s="83"/>
      <c r="F278" s="83"/>
      <c r="G278" s="106"/>
      <c r="H278" s="83"/>
      <c r="I278" s="111"/>
      <c r="J278" s="23"/>
      <c r="K278" s="24"/>
      <c r="L278" s="25"/>
      <c r="M278" s="23"/>
      <c r="N278" s="24"/>
      <c r="O278" s="26"/>
      <c r="P278" s="27" t="str">
        <f t="shared" si="24"/>
        <v/>
      </c>
      <c r="Q278" s="28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/>
      <c r="EG278" s="22"/>
      <c r="EH278" s="22"/>
      <c r="EI278" s="22"/>
      <c r="EJ278" s="22"/>
      <c r="EK278" s="22"/>
      <c r="EL278" s="22"/>
      <c r="EM278" s="22"/>
      <c r="EN278" s="22"/>
      <c r="EO278" s="22"/>
      <c r="EP278" s="22"/>
      <c r="EQ278" s="22"/>
      <c r="ER278" s="22"/>
      <c r="ES278" s="22"/>
      <c r="ET278" s="22"/>
      <c r="EU278" s="22"/>
      <c r="EV278" s="22"/>
      <c r="EW278" s="22"/>
      <c r="EX278" s="22"/>
      <c r="EY278" s="22"/>
      <c r="EZ278" s="22"/>
      <c r="FA278" s="22"/>
      <c r="FB278" s="22"/>
      <c r="FC278" s="22"/>
      <c r="FD278" s="22"/>
      <c r="FE278" s="22"/>
      <c r="FF278" s="22"/>
      <c r="FG278" s="22"/>
      <c r="FH278" s="22"/>
      <c r="FI278" s="22"/>
      <c r="FJ278" s="22"/>
      <c r="FK278" s="22"/>
      <c r="FL278" s="22"/>
      <c r="FM278" s="22"/>
      <c r="FN278" s="22"/>
      <c r="FO278" s="22"/>
      <c r="FP278" s="22"/>
      <c r="FQ278" s="22"/>
      <c r="FR278" s="22"/>
      <c r="FS278" s="22"/>
      <c r="FT278" s="22"/>
      <c r="FU278" s="22"/>
      <c r="FV278" s="22"/>
      <c r="FW278" s="22"/>
      <c r="FX278" s="22"/>
      <c r="FY278" s="22"/>
      <c r="FZ278" s="22"/>
      <c r="GA278" s="22"/>
      <c r="GB278" s="22"/>
      <c r="GC278" s="22"/>
      <c r="GD278" s="22"/>
      <c r="GE278" s="22"/>
      <c r="GF278" s="22"/>
      <c r="GG278" s="22"/>
      <c r="GH278" s="22"/>
      <c r="GI278" s="22"/>
      <c r="GJ278" s="22"/>
      <c r="GK278" s="22"/>
      <c r="GL278" s="22"/>
      <c r="GM278" s="22"/>
      <c r="GN278" s="22"/>
      <c r="GO278" s="22"/>
      <c r="GP278" s="22"/>
      <c r="GQ278" s="22"/>
      <c r="GR278" s="22"/>
      <c r="GS278" s="22"/>
      <c r="GT278" s="22"/>
      <c r="GU278" s="22"/>
      <c r="GV278" s="22"/>
      <c r="GW278" s="22"/>
      <c r="GX278" s="22"/>
      <c r="GY278" s="22"/>
      <c r="GZ278" s="22"/>
      <c r="HA278" s="22"/>
      <c r="HB278" s="22"/>
      <c r="HC278" s="22"/>
      <c r="HD278" s="22"/>
      <c r="HE278" s="22"/>
      <c r="HF278" s="22"/>
      <c r="HG278" s="22"/>
      <c r="HH278" s="22"/>
      <c r="HI278" s="22"/>
      <c r="HJ278" s="22"/>
      <c r="HK278" s="22"/>
      <c r="HL278" s="22"/>
      <c r="HM278" s="22"/>
      <c r="HN278" s="22"/>
      <c r="HO278" s="22"/>
    </row>
    <row r="279" spans="2:223" ht="18" customHeight="1">
      <c r="B279" s="22"/>
      <c r="C279" s="22"/>
      <c r="D279" s="22"/>
      <c r="E279" s="83"/>
      <c r="F279" s="83"/>
      <c r="G279" s="106"/>
      <c r="H279" s="83"/>
      <c r="I279" s="111"/>
      <c r="J279" s="23"/>
      <c r="K279" s="24"/>
      <c r="L279" s="25"/>
      <c r="M279" s="23"/>
      <c r="N279" s="24"/>
      <c r="O279" s="26"/>
      <c r="P279" s="27" t="str">
        <f t="shared" si="24"/>
        <v/>
      </c>
      <c r="Q279" s="28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  <c r="EB279" s="22"/>
      <c r="EC279" s="22"/>
      <c r="ED279" s="22"/>
      <c r="EE279" s="22"/>
      <c r="EF279" s="22"/>
      <c r="EG279" s="22"/>
      <c r="EH279" s="22"/>
      <c r="EI279" s="22"/>
      <c r="EJ279" s="22"/>
      <c r="EK279" s="22"/>
      <c r="EL279" s="22"/>
      <c r="EM279" s="22"/>
      <c r="EN279" s="22"/>
      <c r="EO279" s="22"/>
      <c r="EP279" s="22"/>
      <c r="EQ279" s="22"/>
      <c r="ER279" s="22"/>
      <c r="ES279" s="22"/>
      <c r="ET279" s="22"/>
      <c r="EU279" s="22"/>
      <c r="EV279" s="22"/>
      <c r="EW279" s="22"/>
      <c r="EX279" s="22"/>
      <c r="EY279" s="22"/>
      <c r="EZ279" s="22"/>
      <c r="FA279" s="22"/>
      <c r="FB279" s="22"/>
      <c r="FC279" s="22"/>
      <c r="FD279" s="22"/>
      <c r="FE279" s="22"/>
      <c r="FF279" s="22"/>
      <c r="FG279" s="22"/>
      <c r="FH279" s="22"/>
      <c r="FI279" s="22"/>
      <c r="FJ279" s="22"/>
      <c r="FK279" s="22"/>
      <c r="FL279" s="22"/>
      <c r="FM279" s="22"/>
      <c r="FN279" s="22"/>
      <c r="FO279" s="22"/>
      <c r="FP279" s="22"/>
      <c r="FQ279" s="22"/>
      <c r="FR279" s="22"/>
      <c r="FS279" s="22"/>
      <c r="FT279" s="22"/>
      <c r="FU279" s="22"/>
      <c r="FV279" s="22"/>
      <c r="FW279" s="22"/>
      <c r="FX279" s="22"/>
      <c r="FY279" s="22"/>
      <c r="FZ279" s="22"/>
      <c r="GA279" s="22"/>
      <c r="GB279" s="22"/>
      <c r="GC279" s="22"/>
      <c r="GD279" s="22"/>
      <c r="GE279" s="22"/>
      <c r="GF279" s="22"/>
      <c r="GG279" s="22"/>
      <c r="GH279" s="22"/>
      <c r="GI279" s="22"/>
      <c r="GJ279" s="22"/>
      <c r="GK279" s="22"/>
      <c r="GL279" s="22"/>
      <c r="GM279" s="22"/>
      <c r="GN279" s="22"/>
      <c r="GO279" s="22"/>
      <c r="GP279" s="22"/>
      <c r="GQ279" s="22"/>
      <c r="GR279" s="22"/>
      <c r="GS279" s="22"/>
      <c r="GT279" s="22"/>
      <c r="GU279" s="22"/>
      <c r="GV279" s="22"/>
      <c r="GW279" s="22"/>
      <c r="GX279" s="22"/>
      <c r="GY279" s="22"/>
      <c r="GZ279" s="22"/>
      <c r="HA279" s="22"/>
      <c r="HB279" s="22"/>
      <c r="HC279" s="22"/>
      <c r="HD279" s="22"/>
      <c r="HE279" s="22"/>
      <c r="HF279" s="22"/>
      <c r="HG279" s="22"/>
      <c r="HH279" s="22"/>
      <c r="HI279" s="22"/>
      <c r="HJ279" s="22"/>
      <c r="HK279" s="22"/>
      <c r="HL279" s="22"/>
      <c r="HM279" s="22"/>
      <c r="HN279" s="22"/>
      <c r="HO279" s="22"/>
    </row>
    <row r="280" spans="2:223" ht="18" customHeight="1">
      <c r="B280" s="22"/>
      <c r="C280" s="22"/>
      <c r="D280" s="22"/>
      <c r="E280" s="83"/>
      <c r="F280" s="83"/>
      <c r="G280" s="106"/>
      <c r="H280" s="83"/>
      <c r="I280" s="111"/>
      <c r="J280" s="23"/>
      <c r="K280" s="24"/>
      <c r="L280" s="25"/>
      <c r="M280" s="23"/>
      <c r="N280" s="24"/>
      <c r="O280" s="26"/>
      <c r="P280" s="27" t="str">
        <f t="shared" si="24"/>
        <v/>
      </c>
      <c r="Q280" s="28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  <c r="EB280" s="22"/>
      <c r="EC280" s="22"/>
      <c r="ED280" s="22"/>
      <c r="EE280" s="22"/>
      <c r="EF280" s="22"/>
      <c r="EG280" s="22"/>
      <c r="EH280" s="22"/>
      <c r="EI280" s="22"/>
      <c r="EJ280" s="22"/>
      <c r="EK280" s="22"/>
      <c r="EL280" s="22"/>
      <c r="EM280" s="22"/>
      <c r="EN280" s="22"/>
      <c r="EO280" s="22"/>
      <c r="EP280" s="22"/>
      <c r="EQ280" s="22"/>
      <c r="ER280" s="22"/>
      <c r="ES280" s="22"/>
      <c r="ET280" s="22"/>
      <c r="EU280" s="22"/>
      <c r="EV280" s="22"/>
      <c r="EW280" s="22"/>
      <c r="EX280" s="22"/>
      <c r="EY280" s="22"/>
      <c r="EZ280" s="22"/>
      <c r="FA280" s="22"/>
      <c r="FB280" s="22"/>
      <c r="FC280" s="22"/>
      <c r="FD280" s="22"/>
      <c r="FE280" s="22"/>
      <c r="FF280" s="22"/>
      <c r="FG280" s="22"/>
      <c r="FH280" s="22"/>
      <c r="FI280" s="22"/>
      <c r="FJ280" s="22"/>
      <c r="FK280" s="22"/>
      <c r="FL280" s="22"/>
      <c r="FM280" s="22"/>
      <c r="FN280" s="22"/>
      <c r="FO280" s="22"/>
      <c r="FP280" s="22"/>
      <c r="FQ280" s="22"/>
      <c r="FR280" s="22"/>
      <c r="FS280" s="22"/>
      <c r="FT280" s="22"/>
      <c r="FU280" s="22"/>
      <c r="FV280" s="22"/>
      <c r="FW280" s="22"/>
      <c r="FX280" s="22"/>
      <c r="FY280" s="22"/>
      <c r="FZ280" s="22"/>
      <c r="GA280" s="22"/>
      <c r="GB280" s="22"/>
      <c r="GC280" s="22"/>
      <c r="GD280" s="22"/>
      <c r="GE280" s="22"/>
      <c r="GF280" s="22"/>
      <c r="GG280" s="22"/>
      <c r="GH280" s="22"/>
      <c r="GI280" s="22"/>
      <c r="GJ280" s="22"/>
      <c r="GK280" s="22"/>
      <c r="GL280" s="22"/>
      <c r="GM280" s="22"/>
      <c r="GN280" s="22"/>
      <c r="GO280" s="22"/>
      <c r="GP280" s="22"/>
      <c r="GQ280" s="22"/>
      <c r="GR280" s="22"/>
      <c r="GS280" s="22"/>
      <c r="GT280" s="22"/>
      <c r="GU280" s="22"/>
      <c r="GV280" s="22"/>
      <c r="GW280" s="22"/>
      <c r="GX280" s="22"/>
      <c r="GY280" s="22"/>
      <c r="GZ280" s="22"/>
      <c r="HA280" s="22"/>
      <c r="HB280" s="22"/>
      <c r="HC280" s="22"/>
      <c r="HD280" s="22"/>
      <c r="HE280" s="22"/>
      <c r="HF280" s="22"/>
      <c r="HG280" s="22"/>
      <c r="HH280" s="22"/>
      <c r="HI280" s="22"/>
      <c r="HJ280" s="22"/>
      <c r="HK280" s="22"/>
      <c r="HL280" s="22"/>
      <c r="HM280" s="22"/>
      <c r="HN280" s="22"/>
      <c r="HO280" s="22"/>
    </row>
    <row r="281" spans="2:223" ht="18" customHeight="1">
      <c r="B281" s="22"/>
      <c r="C281" s="22"/>
      <c r="D281" s="22"/>
      <c r="E281" s="83"/>
      <c r="F281" s="83"/>
      <c r="G281" s="106"/>
      <c r="H281" s="83"/>
      <c r="I281" s="111"/>
      <c r="J281" s="23"/>
      <c r="K281" s="24"/>
      <c r="L281" s="25"/>
      <c r="M281" s="23"/>
      <c r="N281" s="24"/>
      <c r="O281" s="26"/>
      <c r="P281" s="27" t="str">
        <f t="shared" si="24"/>
        <v/>
      </c>
      <c r="Q281" s="28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  <c r="EB281" s="22"/>
      <c r="EC281" s="22"/>
      <c r="ED281" s="22"/>
      <c r="EE281" s="22"/>
      <c r="EF281" s="22"/>
      <c r="EG281" s="22"/>
      <c r="EH281" s="22"/>
      <c r="EI281" s="22"/>
      <c r="EJ281" s="22"/>
      <c r="EK281" s="22"/>
      <c r="EL281" s="22"/>
      <c r="EM281" s="22"/>
      <c r="EN281" s="22"/>
      <c r="EO281" s="22"/>
      <c r="EP281" s="22"/>
      <c r="EQ281" s="22"/>
      <c r="ER281" s="22"/>
      <c r="ES281" s="22"/>
      <c r="ET281" s="22"/>
      <c r="EU281" s="22"/>
      <c r="EV281" s="22"/>
      <c r="EW281" s="22"/>
      <c r="EX281" s="22"/>
      <c r="EY281" s="22"/>
      <c r="EZ281" s="22"/>
      <c r="FA281" s="22"/>
      <c r="FB281" s="22"/>
      <c r="FC281" s="22"/>
      <c r="FD281" s="22"/>
      <c r="FE281" s="22"/>
      <c r="FF281" s="22"/>
      <c r="FG281" s="22"/>
      <c r="FH281" s="22"/>
      <c r="FI281" s="22"/>
      <c r="FJ281" s="22"/>
      <c r="FK281" s="22"/>
      <c r="FL281" s="22"/>
      <c r="FM281" s="22"/>
      <c r="FN281" s="22"/>
      <c r="FO281" s="22"/>
      <c r="FP281" s="22"/>
      <c r="FQ281" s="22"/>
      <c r="FR281" s="22"/>
      <c r="FS281" s="22"/>
      <c r="FT281" s="22"/>
      <c r="FU281" s="22"/>
      <c r="FV281" s="22"/>
      <c r="FW281" s="22"/>
      <c r="FX281" s="22"/>
      <c r="FY281" s="22"/>
      <c r="FZ281" s="22"/>
      <c r="GA281" s="22"/>
      <c r="GB281" s="22"/>
      <c r="GC281" s="22"/>
      <c r="GD281" s="22"/>
      <c r="GE281" s="22"/>
      <c r="GF281" s="22"/>
      <c r="GG281" s="22"/>
      <c r="GH281" s="22"/>
      <c r="GI281" s="22"/>
      <c r="GJ281" s="22"/>
      <c r="GK281" s="22"/>
      <c r="GL281" s="22"/>
      <c r="GM281" s="22"/>
      <c r="GN281" s="22"/>
      <c r="GO281" s="22"/>
      <c r="GP281" s="22"/>
      <c r="GQ281" s="22"/>
      <c r="GR281" s="22"/>
      <c r="GS281" s="22"/>
      <c r="GT281" s="22"/>
      <c r="GU281" s="22"/>
      <c r="GV281" s="22"/>
      <c r="GW281" s="22"/>
      <c r="GX281" s="22"/>
      <c r="GY281" s="22"/>
      <c r="GZ281" s="22"/>
      <c r="HA281" s="22"/>
      <c r="HB281" s="22"/>
      <c r="HC281" s="22"/>
      <c r="HD281" s="22"/>
      <c r="HE281" s="22"/>
      <c r="HF281" s="22"/>
      <c r="HG281" s="22"/>
      <c r="HH281" s="22"/>
      <c r="HI281" s="22"/>
      <c r="HJ281" s="22"/>
      <c r="HK281" s="22"/>
      <c r="HL281" s="22"/>
      <c r="HM281" s="22"/>
      <c r="HN281" s="22"/>
      <c r="HO281" s="22"/>
    </row>
    <row r="282" spans="2:223" ht="18" customHeight="1">
      <c r="B282" s="22"/>
      <c r="C282" s="22"/>
      <c r="D282" s="22"/>
      <c r="E282" s="83"/>
      <c r="F282" s="83"/>
      <c r="G282" s="106"/>
      <c r="H282" s="83"/>
      <c r="I282" s="111"/>
      <c r="J282" s="23"/>
      <c r="K282" s="24"/>
      <c r="L282" s="25"/>
      <c r="M282" s="23"/>
      <c r="N282" s="24"/>
      <c r="O282" s="26"/>
      <c r="P282" s="27" t="str">
        <f t="shared" si="24"/>
        <v/>
      </c>
      <c r="Q282" s="28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2"/>
      <c r="EE282" s="22"/>
      <c r="EF282" s="22"/>
      <c r="EG282" s="22"/>
      <c r="EH282" s="22"/>
      <c r="EI282" s="22"/>
      <c r="EJ282" s="22"/>
      <c r="EK282" s="22"/>
      <c r="EL282" s="22"/>
      <c r="EM282" s="22"/>
      <c r="EN282" s="22"/>
      <c r="EO282" s="22"/>
      <c r="EP282" s="22"/>
      <c r="EQ282" s="22"/>
      <c r="ER282" s="22"/>
      <c r="ES282" s="22"/>
      <c r="ET282" s="22"/>
      <c r="EU282" s="22"/>
      <c r="EV282" s="22"/>
      <c r="EW282" s="22"/>
      <c r="EX282" s="22"/>
      <c r="EY282" s="22"/>
      <c r="EZ282" s="22"/>
      <c r="FA282" s="22"/>
      <c r="FB282" s="22"/>
      <c r="FC282" s="22"/>
      <c r="FD282" s="22"/>
      <c r="FE282" s="22"/>
      <c r="FF282" s="22"/>
      <c r="FG282" s="22"/>
      <c r="FH282" s="22"/>
      <c r="FI282" s="22"/>
      <c r="FJ282" s="22"/>
      <c r="FK282" s="22"/>
      <c r="FL282" s="22"/>
      <c r="FM282" s="22"/>
      <c r="FN282" s="22"/>
      <c r="FO282" s="22"/>
      <c r="FP282" s="22"/>
      <c r="FQ282" s="22"/>
      <c r="FR282" s="22"/>
      <c r="FS282" s="22"/>
      <c r="FT282" s="22"/>
      <c r="FU282" s="22"/>
      <c r="FV282" s="22"/>
      <c r="FW282" s="22"/>
      <c r="FX282" s="22"/>
      <c r="FY282" s="22"/>
      <c r="FZ282" s="22"/>
      <c r="GA282" s="22"/>
      <c r="GB282" s="22"/>
      <c r="GC282" s="22"/>
      <c r="GD282" s="22"/>
      <c r="GE282" s="22"/>
      <c r="GF282" s="22"/>
      <c r="GG282" s="22"/>
      <c r="GH282" s="22"/>
      <c r="GI282" s="22"/>
      <c r="GJ282" s="22"/>
      <c r="GK282" s="22"/>
      <c r="GL282" s="22"/>
      <c r="GM282" s="22"/>
      <c r="GN282" s="22"/>
      <c r="GO282" s="22"/>
      <c r="GP282" s="22"/>
      <c r="GQ282" s="22"/>
      <c r="GR282" s="22"/>
      <c r="GS282" s="22"/>
      <c r="GT282" s="22"/>
      <c r="GU282" s="22"/>
      <c r="GV282" s="22"/>
      <c r="GW282" s="22"/>
      <c r="GX282" s="22"/>
      <c r="GY282" s="22"/>
      <c r="GZ282" s="22"/>
      <c r="HA282" s="22"/>
      <c r="HB282" s="22"/>
      <c r="HC282" s="22"/>
      <c r="HD282" s="22"/>
      <c r="HE282" s="22"/>
      <c r="HF282" s="22"/>
      <c r="HG282" s="22"/>
      <c r="HH282" s="22"/>
      <c r="HI282" s="22"/>
      <c r="HJ282" s="22"/>
      <c r="HK282" s="22"/>
      <c r="HL282" s="22"/>
      <c r="HM282" s="22"/>
      <c r="HN282" s="22"/>
      <c r="HO282" s="22"/>
    </row>
    <row r="283" spans="2:223" ht="18" customHeight="1">
      <c r="B283" s="22"/>
      <c r="C283" s="22"/>
      <c r="D283" s="22"/>
      <c r="E283" s="83"/>
      <c r="F283" s="83"/>
      <c r="G283" s="106"/>
      <c r="H283" s="83"/>
      <c r="I283" s="111"/>
      <c r="J283" s="23"/>
      <c r="K283" s="24"/>
      <c r="L283" s="25"/>
      <c r="M283" s="23"/>
      <c r="N283" s="24"/>
      <c r="O283" s="26"/>
      <c r="P283" s="27" t="str">
        <f t="shared" si="24"/>
        <v/>
      </c>
      <c r="Q283" s="28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  <c r="EB283" s="22"/>
      <c r="EC283" s="22"/>
      <c r="ED283" s="22"/>
      <c r="EE283" s="22"/>
      <c r="EF283" s="22"/>
      <c r="EG283" s="22"/>
      <c r="EH283" s="22"/>
      <c r="EI283" s="22"/>
      <c r="EJ283" s="22"/>
      <c r="EK283" s="22"/>
      <c r="EL283" s="22"/>
      <c r="EM283" s="22"/>
      <c r="EN283" s="22"/>
      <c r="EO283" s="22"/>
      <c r="EP283" s="22"/>
      <c r="EQ283" s="22"/>
      <c r="ER283" s="22"/>
      <c r="ES283" s="22"/>
      <c r="ET283" s="22"/>
      <c r="EU283" s="22"/>
      <c r="EV283" s="22"/>
      <c r="EW283" s="22"/>
      <c r="EX283" s="22"/>
      <c r="EY283" s="22"/>
      <c r="EZ283" s="22"/>
      <c r="FA283" s="22"/>
      <c r="FB283" s="22"/>
      <c r="FC283" s="22"/>
      <c r="FD283" s="22"/>
      <c r="FE283" s="22"/>
      <c r="FF283" s="22"/>
      <c r="FG283" s="22"/>
      <c r="FH283" s="22"/>
      <c r="FI283" s="22"/>
      <c r="FJ283" s="22"/>
      <c r="FK283" s="22"/>
      <c r="FL283" s="22"/>
      <c r="FM283" s="22"/>
      <c r="FN283" s="22"/>
      <c r="FO283" s="22"/>
      <c r="FP283" s="22"/>
      <c r="FQ283" s="22"/>
      <c r="FR283" s="22"/>
      <c r="FS283" s="22"/>
      <c r="FT283" s="22"/>
      <c r="FU283" s="22"/>
      <c r="FV283" s="22"/>
      <c r="FW283" s="22"/>
      <c r="FX283" s="22"/>
      <c r="FY283" s="22"/>
      <c r="FZ283" s="22"/>
      <c r="GA283" s="22"/>
      <c r="GB283" s="22"/>
      <c r="GC283" s="22"/>
      <c r="GD283" s="22"/>
      <c r="GE283" s="22"/>
      <c r="GF283" s="22"/>
      <c r="GG283" s="22"/>
      <c r="GH283" s="22"/>
      <c r="GI283" s="22"/>
      <c r="GJ283" s="22"/>
      <c r="GK283" s="22"/>
      <c r="GL283" s="22"/>
      <c r="GM283" s="22"/>
      <c r="GN283" s="22"/>
      <c r="GO283" s="22"/>
      <c r="GP283" s="22"/>
      <c r="GQ283" s="22"/>
      <c r="GR283" s="22"/>
      <c r="GS283" s="22"/>
      <c r="GT283" s="22"/>
      <c r="GU283" s="22"/>
      <c r="GV283" s="22"/>
      <c r="GW283" s="22"/>
      <c r="GX283" s="22"/>
      <c r="GY283" s="22"/>
      <c r="GZ283" s="22"/>
      <c r="HA283" s="22"/>
      <c r="HB283" s="22"/>
      <c r="HC283" s="22"/>
      <c r="HD283" s="22"/>
      <c r="HE283" s="22"/>
      <c r="HF283" s="22"/>
      <c r="HG283" s="22"/>
      <c r="HH283" s="22"/>
      <c r="HI283" s="22"/>
      <c r="HJ283" s="22"/>
      <c r="HK283" s="22"/>
      <c r="HL283" s="22"/>
      <c r="HM283" s="22"/>
      <c r="HN283" s="22"/>
      <c r="HO283" s="22"/>
    </row>
    <row r="284" spans="2:223" ht="18" customHeight="1">
      <c r="B284" s="22"/>
      <c r="C284" s="22"/>
      <c r="D284" s="22"/>
      <c r="E284" s="83"/>
      <c r="F284" s="83"/>
      <c r="G284" s="106"/>
      <c r="H284" s="83"/>
      <c r="I284" s="111"/>
      <c r="J284" s="23"/>
      <c r="K284" s="24"/>
      <c r="L284" s="25"/>
      <c r="M284" s="23"/>
      <c r="N284" s="24"/>
      <c r="O284" s="26"/>
      <c r="P284" s="27" t="str">
        <f t="shared" si="24"/>
        <v/>
      </c>
      <c r="Q284" s="28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  <c r="EB284" s="22"/>
      <c r="EC284" s="22"/>
      <c r="ED284" s="22"/>
      <c r="EE284" s="22"/>
      <c r="EF284" s="22"/>
      <c r="EG284" s="22"/>
      <c r="EH284" s="22"/>
      <c r="EI284" s="22"/>
      <c r="EJ284" s="22"/>
      <c r="EK284" s="22"/>
      <c r="EL284" s="22"/>
      <c r="EM284" s="22"/>
      <c r="EN284" s="22"/>
      <c r="EO284" s="22"/>
      <c r="EP284" s="22"/>
      <c r="EQ284" s="22"/>
      <c r="ER284" s="22"/>
      <c r="ES284" s="22"/>
      <c r="ET284" s="22"/>
      <c r="EU284" s="22"/>
      <c r="EV284" s="22"/>
      <c r="EW284" s="22"/>
      <c r="EX284" s="22"/>
      <c r="EY284" s="22"/>
      <c r="EZ284" s="22"/>
      <c r="FA284" s="22"/>
      <c r="FB284" s="22"/>
      <c r="FC284" s="22"/>
      <c r="FD284" s="22"/>
      <c r="FE284" s="22"/>
      <c r="FF284" s="22"/>
      <c r="FG284" s="22"/>
      <c r="FH284" s="22"/>
      <c r="FI284" s="22"/>
      <c r="FJ284" s="22"/>
      <c r="FK284" s="22"/>
      <c r="FL284" s="22"/>
      <c r="FM284" s="22"/>
      <c r="FN284" s="22"/>
      <c r="FO284" s="22"/>
      <c r="FP284" s="22"/>
      <c r="FQ284" s="22"/>
      <c r="FR284" s="22"/>
      <c r="FS284" s="22"/>
      <c r="FT284" s="22"/>
      <c r="FU284" s="22"/>
      <c r="FV284" s="22"/>
      <c r="FW284" s="22"/>
      <c r="FX284" s="22"/>
      <c r="FY284" s="22"/>
      <c r="FZ284" s="22"/>
      <c r="GA284" s="22"/>
      <c r="GB284" s="22"/>
      <c r="GC284" s="22"/>
      <c r="GD284" s="22"/>
      <c r="GE284" s="22"/>
      <c r="GF284" s="22"/>
      <c r="GG284" s="22"/>
      <c r="GH284" s="22"/>
      <c r="GI284" s="22"/>
      <c r="GJ284" s="22"/>
      <c r="GK284" s="22"/>
      <c r="GL284" s="22"/>
      <c r="GM284" s="22"/>
      <c r="GN284" s="22"/>
      <c r="GO284" s="22"/>
      <c r="GP284" s="22"/>
      <c r="GQ284" s="22"/>
      <c r="GR284" s="22"/>
      <c r="GS284" s="22"/>
      <c r="GT284" s="22"/>
      <c r="GU284" s="22"/>
      <c r="GV284" s="22"/>
      <c r="GW284" s="22"/>
      <c r="GX284" s="22"/>
      <c r="GY284" s="22"/>
      <c r="GZ284" s="22"/>
      <c r="HA284" s="22"/>
      <c r="HB284" s="22"/>
      <c r="HC284" s="22"/>
      <c r="HD284" s="22"/>
      <c r="HE284" s="22"/>
      <c r="HF284" s="22"/>
      <c r="HG284" s="22"/>
      <c r="HH284" s="22"/>
      <c r="HI284" s="22"/>
      <c r="HJ284" s="22"/>
      <c r="HK284" s="22"/>
      <c r="HL284" s="22"/>
      <c r="HM284" s="22"/>
      <c r="HN284" s="22"/>
      <c r="HO284" s="22"/>
    </row>
    <row r="285" spans="2:223" ht="18" customHeight="1">
      <c r="B285" s="22"/>
      <c r="C285" s="22"/>
      <c r="D285" s="22"/>
      <c r="E285" s="83"/>
      <c r="F285" s="83"/>
      <c r="G285" s="106"/>
      <c r="H285" s="83"/>
      <c r="I285" s="111"/>
      <c r="J285" s="23"/>
      <c r="K285" s="24"/>
      <c r="L285" s="25"/>
      <c r="M285" s="23"/>
      <c r="N285" s="24"/>
      <c r="O285" s="26"/>
      <c r="P285" s="27" t="str">
        <f t="shared" si="24"/>
        <v/>
      </c>
      <c r="Q285" s="28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2"/>
      <c r="EE285" s="22"/>
      <c r="EF285" s="22"/>
      <c r="EG285" s="22"/>
      <c r="EH285" s="22"/>
      <c r="EI285" s="22"/>
      <c r="EJ285" s="22"/>
      <c r="EK285" s="22"/>
      <c r="EL285" s="22"/>
      <c r="EM285" s="22"/>
      <c r="EN285" s="22"/>
      <c r="EO285" s="22"/>
      <c r="EP285" s="22"/>
      <c r="EQ285" s="22"/>
      <c r="ER285" s="22"/>
      <c r="ES285" s="22"/>
      <c r="ET285" s="22"/>
      <c r="EU285" s="22"/>
      <c r="EV285" s="22"/>
      <c r="EW285" s="22"/>
      <c r="EX285" s="22"/>
      <c r="EY285" s="22"/>
      <c r="EZ285" s="22"/>
      <c r="FA285" s="22"/>
      <c r="FB285" s="22"/>
      <c r="FC285" s="22"/>
      <c r="FD285" s="22"/>
      <c r="FE285" s="22"/>
      <c r="FF285" s="22"/>
      <c r="FG285" s="22"/>
      <c r="FH285" s="22"/>
      <c r="FI285" s="22"/>
      <c r="FJ285" s="22"/>
      <c r="FK285" s="22"/>
      <c r="FL285" s="22"/>
      <c r="FM285" s="22"/>
      <c r="FN285" s="22"/>
      <c r="FO285" s="22"/>
      <c r="FP285" s="22"/>
      <c r="FQ285" s="22"/>
      <c r="FR285" s="22"/>
      <c r="FS285" s="22"/>
      <c r="FT285" s="22"/>
      <c r="FU285" s="22"/>
      <c r="FV285" s="22"/>
      <c r="FW285" s="22"/>
      <c r="FX285" s="22"/>
      <c r="FY285" s="22"/>
      <c r="FZ285" s="22"/>
      <c r="GA285" s="22"/>
      <c r="GB285" s="22"/>
      <c r="GC285" s="22"/>
      <c r="GD285" s="22"/>
      <c r="GE285" s="22"/>
      <c r="GF285" s="22"/>
      <c r="GG285" s="22"/>
      <c r="GH285" s="22"/>
      <c r="GI285" s="22"/>
      <c r="GJ285" s="22"/>
      <c r="GK285" s="22"/>
      <c r="GL285" s="22"/>
      <c r="GM285" s="22"/>
      <c r="GN285" s="22"/>
      <c r="GO285" s="22"/>
      <c r="GP285" s="22"/>
      <c r="GQ285" s="22"/>
      <c r="GR285" s="22"/>
      <c r="GS285" s="22"/>
      <c r="GT285" s="22"/>
      <c r="GU285" s="22"/>
      <c r="GV285" s="22"/>
      <c r="GW285" s="22"/>
      <c r="GX285" s="22"/>
      <c r="GY285" s="22"/>
      <c r="GZ285" s="22"/>
      <c r="HA285" s="22"/>
      <c r="HB285" s="22"/>
      <c r="HC285" s="22"/>
      <c r="HD285" s="22"/>
      <c r="HE285" s="22"/>
      <c r="HF285" s="22"/>
      <c r="HG285" s="22"/>
      <c r="HH285" s="22"/>
      <c r="HI285" s="22"/>
      <c r="HJ285" s="22"/>
      <c r="HK285" s="22"/>
      <c r="HL285" s="22"/>
      <c r="HM285" s="22"/>
      <c r="HN285" s="22"/>
      <c r="HO285" s="22"/>
    </row>
    <row r="286" spans="2:223" ht="18" customHeight="1">
      <c r="B286" s="22"/>
      <c r="C286" s="22"/>
      <c r="D286" s="22"/>
      <c r="E286" s="83"/>
      <c r="F286" s="83"/>
      <c r="G286" s="106"/>
      <c r="H286" s="83"/>
      <c r="I286" s="111"/>
      <c r="J286" s="23"/>
      <c r="K286" s="24"/>
      <c r="L286" s="25"/>
      <c r="M286" s="23"/>
      <c r="N286" s="24"/>
      <c r="O286" s="26"/>
      <c r="P286" s="27" t="str">
        <f t="shared" si="24"/>
        <v/>
      </c>
      <c r="Q286" s="28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  <c r="EB286" s="22"/>
      <c r="EC286" s="22"/>
      <c r="ED286" s="22"/>
      <c r="EE286" s="22"/>
      <c r="EF286" s="22"/>
      <c r="EG286" s="22"/>
      <c r="EH286" s="22"/>
      <c r="EI286" s="22"/>
      <c r="EJ286" s="22"/>
      <c r="EK286" s="22"/>
      <c r="EL286" s="22"/>
      <c r="EM286" s="22"/>
      <c r="EN286" s="22"/>
      <c r="EO286" s="22"/>
      <c r="EP286" s="22"/>
      <c r="EQ286" s="22"/>
      <c r="ER286" s="22"/>
      <c r="ES286" s="22"/>
      <c r="ET286" s="22"/>
      <c r="EU286" s="22"/>
      <c r="EV286" s="22"/>
      <c r="EW286" s="22"/>
      <c r="EX286" s="22"/>
      <c r="EY286" s="22"/>
      <c r="EZ286" s="22"/>
      <c r="FA286" s="22"/>
      <c r="FB286" s="22"/>
      <c r="FC286" s="22"/>
      <c r="FD286" s="22"/>
      <c r="FE286" s="22"/>
      <c r="FF286" s="22"/>
      <c r="FG286" s="22"/>
      <c r="FH286" s="22"/>
      <c r="FI286" s="22"/>
      <c r="FJ286" s="22"/>
      <c r="FK286" s="22"/>
      <c r="FL286" s="22"/>
      <c r="FM286" s="22"/>
      <c r="FN286" s="22"/>
      <c r="FO286" s="22"/>
      <c r="FP286" s="22"/>
      <c r="FQ286" s="22"/>
      <c r="FR286" s="22"/>
      <c r="FS286" s="22"/>
      <c r="FT286" s="22"/>
      <c r="FU286" s="22"/>
      <c r="FV286" s="22"/>
      <c r="FW286" s="22"/>
      <c r="FX286" s="22"/>
      <c r="FY286" s="22"/>
      <c r="FZ286" s="22"/>
      <c r="GA286" s="22"/>
      <c r="GB286" s="22"/>
      <c r="GC286" s="22"/>
      <c r="GD286" s="22"/>
      <c r="GE286" s="22"/>
      <c r="GF286" s="22"/>
      <c r="GG286" s="22"/>
      <c r="GH286" s="22"/>
      <c r="GI286" s="22"/>
      <c r="GJ286" s="22"/>
      <c r="GK286" s="22"/>
      <c r="GL286" s="22"/>
      <c r="GM286" s="22"/>
      <c r="GN286" s="22"/>
      <c r="GO286" s="22"/>
      <c r="GP286" s="22"/>
      <c r="GQ286" s="22"/>
      <c r="GR286" s="22"/>
      <c r="GS286" s="22"/>
      <c r="GT286" s="22"/>
      <c r="GU286" s="22"/>
      <c r="GV286" s="22"/>
      <c r="GW286" s="22"/>
      <c r="GX286" s="22"/>
      <c r="GY286" s="22"/>
      <c r="GZ286" s="22"/>
      <c r="HA286" s="22"/>
      <c r="HB286" s="22"/>
      <c r="HC286" s="22"/>
      <c r="HD286" s="22"/>
      <c r="HE286" s="22"/>
      <c r="HF286" s="22"/>
      <c r="HG286" s="22"/>
      <c r="HH286" s="22"/>
      <c r="HI286" s="22"/>
      <c r="HJ286" s="22"/>
      <c r="HK286" s="22"/>
      <c r="HL286" s="22"/>
      <c r="HM286" s="22"/>
      <c r="HN286" s="22"/>
      <c r="HO286" s="22"/>
    </row>
    <row r="287" spans="2:223" ht="18" customHeight="1">
      <c r="B287" s="22"/>
      <c r="C287" s="22"/>
      <c r="D287" s="22"/>
      <c r="E287" s="83"/>
      <c r="F287" s="83"/>
      <c r="G287" s="106"/>
      <c r="H287" s="83"/>
      <c r="I287" s="111"/>
      <c r="J287" s="23"/>
      <c r="K287" s="24"/>
      <c r="L287" s="25"/>
      <c r="M287" s="23"/>
      <c r="N287" s="24"/>
      <c r="O287" s="26"/>
      <c r="P287" s="27" t="str">
        <f t="shared" si="24"/>
        <v/>
      </c>
      <c r="Q287" s="28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2"/>
      <c r="EE287" s="22"/>
      <c r="EF287" s="22"/>
      <c r="EG287" s="22"/>
      <c r="EH287" s="22"/>
      <c r="EI287" s="22"/>
      <c r="EJ287" s="22"/>
      <c r="EK287" s="22"/>
      <c r="EL287" s="22"/>
      <c r="EM287" s="22"/>
      <c r="EN287" s="22"/>
      <c r="EO287" s="22"/>
      <c r="EP287" s="22"/>
      <c r="EQ287" s="22"/>
      <c r="ER287" s="22"/>
      <c r="ES287" s="22"/>
      <c r="ET287" s="22"/>
      <c r="EU287" s="22"/>
      <c r="EV287" s="22"/>
      <c r="EW287" s="22"/>
      <c r="EX287" s="22"/>
      <c r="EY287" s="22"/>
      <c r="EZ287" s="22"/>
      <c r="FA287" s="22"/>
      <c r="FB287" s="22"/>
      <c r="FC287" s="22"/>
      <c r="FD287" s="22"/>
      <c r="FE287" s="22"/>
      <c r="FF287" s="22"/>
      <c r="FG287" s="22"/>
      <c r="FH287" s="22"/>
      <c r="FI287" s="22"/>
      <c r="FJ287" s="22"/>
      <c r="FK287" s="22"/>
      <c r="FL287" s="22"/>
      <c r="FM287" s="22"/>
      <c r="FN287" s="22"/>
      <c r="FO287" s="22"/>
      <c r="FP287" s="22"/>
      <c r="FQ287" s="22"/>
      <c r="FR287" s="22"/>
      <c r="FS287" s="22"/>
      <c r="FT287" s="22"/>
      <c r="FU287" s="22"/>
      <c r="FV287" s="22"/>
      <c r="FW287" s="22"/>
      <c r="FX287" s="22"/>
      <c r="FY287" s="22"/>
      <c r="FZ287" s="22"/>
      <c r="GA287" s="22"/>
      <c r="GB287" s="22"/>
      <c r="GC287" s="22"/>
      <c r="GD287" s="22"/>
      <c r="GE287" s="22"/>
      <c r="GF287" s="22"/>
      <c r="GG287" s="22"/>
      <c r="GH287" s="22"/>
      <c r="GI287" s="22"/>
      <c r="GJ287" s="22"/>
      <c r="GK287" s="22"/>
      <c r="GL287" s="22"/>
      <c r="GM287" s="22"/>
      <c r="GN287" s="22"/>
      <c r="GO287" s="22"/>
      <c r="GP287" s="22"/>
      <c r="GQ287" s="22"/>
      <c r="GR287" s="22"/>
      <c r="GS287" s="22"/>
      <c r="GT287" s="22"/>
      <c r="GU287" s="22"/>
      <c r="GV287" s="22"/>
      <c r="GW287" s="22"/>
      <c r="GX287" s="22"/>
      <c r="GY287" s="22"/>
      <c r="GZ287" s="22"/>
      <c r="HA287" s="22"/>
      <c r="HB287" s="22"/>
      <c r="HC287" s="22"/>
      <c r="HD287" s="22"/>
      <c r="HE287" s="22"/>
      <c r="HF287" s="22"/>
      <c r="HG287" s="22"/>
      <c r="HH287" s="22"/>
      <c r="HI287" s="22"/>
      <c r="HJ287" s="22"/>
      <c r="HK287" s="22"/>
      <c r="HL287" s="22"/>
      <c r="HM287" s="22"/>
      <c r="HN287" s="22"/>
      <c r="HO287" s="22"/>
    </row>
  </sheetData>
  <mergeCells count="22">
    <mergeCell ref="B1:C1"/>
    <mergeCell ref="B2:C2"/>
    <mergeCell ref="E2:G2"/>
    <mergeCell ref="H11:H12"/>
    <mergeCell ref="G11:G12"/>
    <mergeCell ref="J11:L11"/>
    <mergeCell ref="O2:Q2"/>
    <mergeCell ref="E11:E12"/>
    <mergeCell ref="P11:P12"/>
    <mergeCell ref="O3:Q3"/>
    <mergeCell ref="M11:O11"/>
    <mergeCell ref="J2:L2"/>
    <mergeCell ref="E3:G3"/>
    <mergeCell ref="M2:N2"/>
    <mergeCell ref="I11:I12"/>
    <mergeCell ref="J3:L3"/>
    <mergeCell ref="M3:N3"/>
    <mergeCell ref="F11:F12"/>
    <mergeCell ref="D11:D12"/>
    <mergeCell ref="B11:B12"/>
    <mergeCell ref="B3:C3"/>
    <mergeCell ref="C11:C12"/>
  </mergeCells>
  <phoneticPr fontId="57"/>
  <conditionalFormatting sqref="R11:AV12">
    <cfRule type="expression" dxfId="7" priority="22" stopIfTrue="1">
      <formula>OR(R$12="土",R$12="日",R$9="祝")</formula>
    </cfRule>
  </conditionalFormatting>
  <conditionalFormatting sqref="R10:AV12">
    <cfRule type="expression" dxfId="6" priority="21" stopIfTrue="1">
      <formula>R$11=TODAY()</formula>
    </cfRule>
  </conditionalFormatting>
  <conditionalFormatting sqref="R13:HO29 R31:HO287">
    <cfRule type="expression" dxfId="5" priority="23" stopIfTrue="1">
      <formula>OR(R$12="土",R$12="日",R$9="祝")</formula>
    </cfRule>
    <cfRule type="expression" dxfId="4" priority="24" stopIfTrue="1">
      <formula>AND($A13="",($J13&lt;=R$11)*(R$11&lt;=$K13))</formula>
    </cfRule>
  </conditionalFormatting>
  <conditionalFormatting sqref="AW11:HO12">
    <cfRule type="expression" dxfId="3" priority="20" stopIfTrue="1">
      <formula>OR(AW$12="土",AW$12="日",AW$9="祝")</formula>
    </cfRule>
  </conditionalFormatting>
  <conditionalFormatting sqref="AW10:HO12">
    <cfRule type="expression" dxfId="2" priority="19" stopIfTrue="1">
      <formula>AW$11=TODAY()</formula>
    </cfRule>
  </conditionalFormatting>
  <conditionalFormatting sqref="R30:HO30">
    <cfRule type="expression" dxfId="1" priority="1" stopIfTrue="1">
      <formula>OR(R$12="土",R$12="日",R$9="祝")</formula>
    </cfRule>
    <cfRule type="expression" dxfId="0" priority="2" stopIfTrue="1">
      <formula>AND($A30="",($J30&lt;=R$11)*(R$11&lt;=$K30))</formula>
    </cfRule>
  </conditionalFormatting>
  <dataValidations count="2">
    <dataValidation type="list" allowBlank="1" showInputMessage="1" sqref="R9:HO9" xr:uid="{3E22F5A4-575E-4FD9-8468-062493B7262F}">
      <formula1>"祝"</formula1>
    </dataValidation>
    <dataValidation type="list" allowBlank="1" showInputMessage="1" sqref="Q13:Q287" xr:uid="{963A93DF-B79D-4D9F-A673-CAA45774F6D4}">
      <formula1>"0,20,40,60,80,100"</formula1>
    </dataValidation>
  </dataValidations>
  <pageMargins left="0.23622047244094491" right="0.23622047244094491" top="0.74803149606299213" bottom="0.74803149606299213" header="0.31496062992125984" footer="0.31496062992125984"/>
  <pageSetup paperSize="8" scale="52" fitToHeight="0" orientation="landscape" r:id="rId1"/>
  <headerFooter>
    <oddHeader>&amp;R&amp;D</oddHeader>
    <oddFooter>&amp;C&amp;P／&amp;N</oddFooter>
  </headerFooter>
  <rowBreaks count="1" manualBreakCount="1">
    <brk id="95" max="7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4" name="Button 1">
              <controlPr defaultSize="0" print="0" autoFill="0" autoPict="0" macro="[0]!RunWBSManagementSystem">
                <anchor moveWithCells="1">
                  <from>
                    <xdr:col>6</xdr:col>
                    <xdr:colOff>213360</xdr:colOff>
                    <xdr:row>7</xdr:row>
                    <xdr:rowOff>68580</xdr:rowOff>
                  </from>
                  <to>
                    <xdr:col>7</xdr:col>
                    <xdr:colOff>45720</xdr:colOff>
                    <xdr:row>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5" name="CheckBox_Thunder">
              <controlPr defaultSize="0" print="0" autoFill="0" autoLine="0" autoPict="0">
                <anchor moveWithCells="1">
                  <from>
                    <xdr:col>7</xdr:col>
                    <xdr:colOff>167640</xdr:colOff>
                    <xdr:row>7</xdr:row>
                    <xdr:rowOff>68580</xdr:rowOff>
                  </from>
                  <to>
                    <xdr:col>7</xdr:col>
                    <xdr:colOff>1021080</xdr:colOff>
                    <xdr:row>8</xdr:row>
                    <xdr:rowOff>91440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7258-41FA-4492-940D-AE2ABDA22511}">
  <sheetPr codeName="Sheet3">
    <pageSetUpPr fitToPage="1"/>
  </sheetPr>
  <dimension ref="A1:R104"/>
  <sheetViews>
    <sheetView view="pageBreakPreview" zoomScale="80" zoomScaleNormal="100" zoomScaleSheetLayoutView="80" workbookViewId="0">
      <selection activeCell="E7" sqref="E7:P7"/>
    </sheetView>
  </sheetViews>
  <sheetFormatPr defaultColWidth="9" defaultRowHeight="13.2"/>
  <cols>
    <col min="1" max="1" width="1.6640625" style="30" customWidth="1"/>
    <col min="2" max="2" width="2.109375" style="30" customWidth="1"/>
    <col min="3" max="3" width="2.44140625" style="30" customWidth="1"/>
    <col min="4" max="16" width="9" style="30"/>
    <col min="17" max="17" width="15" style="30" customWidth="1"/>
    <col min="18" max="18" width="2.77734375" style="30" customWidth="1"/>
    <col min="19" max="16384" width="9" style="30"/>
  </cols>
  <sheetData>
    <row r="1" spans="1:18" ht="27" customHeight="1">
      <c r="A1" s="167" t="s">
        <v>64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9" t="s">
        <v>357</v>
      </c>
      <c r="O1" s="170"/>
      <c r="P1" s="170"/>
      <c r="Q1" s="170"/>
      <c r="R1" s="171"/>
    </row>
    <row r="2" spans="1:18" ht="9.75" customHeight="1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</row>
    <row r="3" spans="1:18" ht="24.75" customHeight="1">
      <c r="B3" s="32" t="s">
        <v>62</v>
      </c>
    </row>
    <row r="4" spans="1:18" ht="21.75" customHeight="1">
      <c r="C4" s="29" t="s">
        <v>50</v>
      </c>
    </row>
    <row r="5" spans="1:18" ht="21.75" customHeight="1">
      <c r="C5" s="29"/>
      <c r="D5" s="71" t="s">
        <v>67</v>
      </c>
    </row>
    <row r="6" spans="1:18" ht="24.75" customHeight="1">
      <c r="C6" s="29" t="s">
        <v>51</v>
      </c>
    </row>
    <row r="7" spans="1:18" ht="129" customHeight="1">
      <c r="C7" s="33"/>
      <c r="E7" s="172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</row>
    <row r="8" spans="1:18" ht="24.75" customHeight="1">
      <c r="C8" s="29" t="s">
        <v>52</v>
      </c>
    </row>
    <row r="9" spans="1:18" ht="24.75" customHeight="1">
      <c r="C9" s="33"/>
      <c r="D9" s="71" t="s">
        <v>66</v>
      </c>
    </row>
    <row r="10" spans="1:18" ht="16.5" customHeight="1">
      <c r="C10" s="33"/>
    </row>
    <row r="11" spans="1:18" ht="24.75" customHeight="1">
      <c r="C11" s="33"/>
    </row>
    <row r="12" spans="1:18" ht="24.75" customHeight="1">
      <c r="C12" s="33"/>
    </row>
    <row r="13" spans="1:18" ht="24.75" customHeight="1">
      <c r="C13" s="33"/>
    </row>
    <row r="14" spans="1:18" ht="24.75" customHeight="1">
      <c r="C14" s="33"/>
    </row>
    <row r="15" spans="1:18" ht="24.75" customHeight="1">
      <c r="C15" s="33"/>
    </row>
    <row r="16" spans="1:18" ht="24.75" customHeight="1">
      <c r="C16" s="33"/>
    </row>
    <row r="17" spans="2:17" ht="24.75" customHeight="1">
      <c r="C17" s="33"/>
    </row>
    <row r="18" spans="2:17" ht="27.75" customHeight="1">
      <c r="B18" s="32" t="s">
        <v>53</v>
      </c>
      <c r="C18" s="33"/>
      <c r="D18" s="35"/>
      <c r="E18" s="35"/>
      <c r="F18" s="36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</row>
    <row r="19" spans="2:17" ht="27.75" customHeight="1">
      <c r="C19" s="29" t="s">
        <v>25</v>
      </c>
      <c r="D19" s="35"/>
      <c r="E19" s="35"/>
      <c r="F19" s="36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</row>
    <row r="20" spans="2:17" ht="7.5" customHeight="1">
      <c r="C20" s="33"/>
      <c r="D20" s="37"/>
      <c r="E20" s="37"/>
      <c r="F20" s="3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</row>
    <row r="21" spans="2:17" ht="15" customHeight="1">
      <c r="D21" s="39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40"/>
    </row>
    <row r="22" spans="2:17" ht="6.75" customHeight="1">
      <c r="C22" s="29"/>
      <c r="D22" s="41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3"/>
    </row>
    <row r="23" spans="2:17" ht="19.2">
      <c r="C23" s="29"/>
      <c r="D23" s="41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3"/>
    </row>
    <row r="24" spans="2:17">
      <c r="D24" s="41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3"/>
    </row>
    <row r="25" spans="2:17">
      <c r="D25" s="4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3"/>
    </row>
    <row r="26" spans="2:17">
      <c r="D26" s="41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3"/>
    </row>
    <row r="27" spans="2:17">
      <c r="D27" s="41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3"/>
    </row>
    <row r="28" spans="2:17">
      <c r="D28" s="41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3"/>
    </row>
    <row r="29" spans="2:17">
      <c r="D29" s="41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3"/>
    </row>
    <row r="30" spans="2:17">
      <c r="D30" s="41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3"/>
    </row>
    <row r="31" spans="2:17">
      <c r="D31" s="41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3"/>
    </row>
    <row r="32" spans="2:17">
      <c r="D32" s="41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3"/>
    </row>
    <row r="33" spans="4:17">
      <c r="D33" s="41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3"/>
    </row>
    <row r="34" spans="4:17">
      <c r="D34" s="41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3"/>
    </row>
    <row r="35" spans="4:17">
      <c r="D35" s="41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3"/>
    </row>
    <row r="36" spans="4:17"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</row>
    <row r="37" spans="4:17">
      <c r="D37" s="41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3"/>
    </row>
    <row r="38" spans="4:17">
      <c r="D38" s="41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3"/>
    </row>
    <row r="39" spans="4:17">
      <c r="D39" s="41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3"/>
    </row>
    <row r="40" spans="4:17">
      <c r="D40" s="41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3"/>
    </row>
    <row r="41" spans="4:17"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3"/>
    </row>
    <row r="42" spans="4:17"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</row>
    <row r="43" spans="4:17">
      <c r="D43" s="41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3"/>
    </row>
    <row r="44" spans="4:17">
      <c r="D44" s="41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3"/>
    </row>
    <row r="45" spans="4:17">
      <c r="D45" s="41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3"/>
    </row>
    <row r="46" spans="4:17">
      <c r="D46" s="41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3"/>
    </row>
    <row r="47" spans="4:17">
      <c r="D47" s="41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3"/>
    </row>
    <row r="48" spans="4:17">
      <c r="D48" s="41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3"/>
    </row>
    <row r="49" spans="3:18"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3"/>
    </row>
    <row r="50" spans="3:18"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3"/>
    </row>
    <row r="51" spans="3:18"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3"/>
    </row>
    <row r="52" spans="3:18">
      <c r="D52" s="41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3"/>
    </row>
    <row r="53" spans="3:18">
      <c r="D53" s="41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3"/>
    </row>
    <row r="54" spans="3:18">
      <c r="D54" s="41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3"/>
    </row>
    <row r="55" spans="3:18">
      <c r="D55" s="41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3"/>
    </row>
    <row r="56" spans="3:18">
      <c r="D56" s="41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3"/>
    </row>
    <row r="57" spans="3:18">
      <c r="D57" s="41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3"/>
    </row>
    <row r="58" spans="3:18">
      <c r="D58" s="41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3"/>
    </row>
    <row r="59" spans="3:18">
      <c r="D59" s="41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3"/>
    </row>
    <row r="60" spans="3:18">
      <c r="D60" s="44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</row>
    <row r="61" spans="3:18" ht="7.5" customHeight="1"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</row>
    <row r="62" spans="3:18" ht="19.2">
      <c r="C62" s="29" t="s">
        <v>56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</row>
    <row r="63" spans="3:18" ht="29.25" customHeight="1">
      <c r="D63" s="70" t="s">
        <v>63</v>
      </c>
      <c r="E63" s="49"/>
      <c r="F63" s="49"/>
    </row>
    <row r="64" spans="3:18" ht="21" customHeight="1">
      <c r="E64" s="54" t="s">
        <v>41</v>
      </c>
      <c r="F64" s="54"/>
      <c r="G64" s="54"/>
      <c r="H64" s="54"/>
      <c r="I64" s="54"/>
      <c r="J64" s="54"/>
      <c r="K64" s="51"/>
      <c r="L64" s="51"/>
      <c r="M64" s="51"/>
      <c r="N64" s="51"/>
      <c r="O64" s="51"/>
      <c r="P64" s="51"/>
      <c r="Q64" s="51"/>
      <c r="R64" s="51"/>
    </row>
    <row r="65" spans="4:18" ht="21" customHeight="1">
      <c r="E65" s="54" t="s">
        <v>54</v>
      </c>
      <c r="F65" s="54"/>
      <c r="G65" s="54"/>
      <c r="H65" s="54"/>
      <c r="I65" s="54"/>
      <c r="J65" s="54"/>
      <c r="K65" s="51"/>
      <c r="L65" s="51"/>
      <c r="M65" s="51"/>
      <c r="N65" s="51"/>
      <c r="O65" s="51"/>
      <c r="P65" s="51"/>
      <c r="Q65" s="51"/>
      <c r="R65" s="51"/>
    </row>
    <row r="67" spans="4:18" ht="16.2">
      <c r="D67" s="70" t="s">
        <v>57</v>
      </c>
    </row>
    <row r="68" spans="4:18" ht="19.5" customHeight="1">
      <c r="D68" s="50"/>
      <c r="E68" s="54" t="s">
        <v>340</v>
      </c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spans="4:18" ht="19.5" customHeight="1">
      <c r="D69" s="50"/>
      <c r="E69" s="98" t="s">
        <v>341</v>
      </c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spans="4:18" ht="9.75" customHeight="1"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</row>
    <row r="71" spans="4:18" ht="23.25" customHeight="1">
      <c r="E71" s="57" t="s">
        <v>35</v>
      </c>
      <c r="F71" s="58"/>
      <c r="G71" s="57" t="s">
        <v>30</v>
      </c>
      <c r="H71" s="59"/>
      <c r="I71" s="59"/>
      <c r="J71" s="59"/>
      <c r="K71" s="59"/>
      <c r="L71" s="59"/>
      <c r="M71" s="59"/>
      <c r="N71" s="59"/>
      <c r="O71" s="59"/>
      <c r="P71" s="59"/>
      <c r="Q71" s="58"/>
      <c r="R71" s="56"/>
    </row>
    <row r="72" spans="4:18" ht="23.25" customHeight="1">
      <c r="E72" s="60" t="s">
        <v>26</v>
      </c>
      <c r="F72" s="61"/>
      <c r="G72" s="62" t="s">
        <v>48</v>
      </c>
      <c r="H72" s="63"/>
      <c r="I72" s="63"/>
      <c r="J72" s="63"/>
      <c r="K72" s="63"/>
      <c r="L72" s="63"/>
      <c r="M72" s="63"/>
      <c r="N72" s="63"/>
      <c r="O72" s="63"/>
      <c r="P72" s="63"/>
      <c r="Q72" s="65"/>
      <c r="R72" s="56"/>
    </row>
    <row r="73" spans="4:18" ht="23.25" customHeight="1">
      <c r="E73" s="60" t="s">
        <v>27</v>
      </c>
      <c r="F73" s="61"/>
      <c r="G73" s="62" t="s">
        <v>59</v>
      </c>
      <c r="H73" s="64"/>
      <c r="I73" s="64"/>
      <c r="J73" s="64"/>
      <c r="K73" s="64"/>
      <c r="L73" s="64"/>
      <c r="M73" s="64"/>
      <c r="N73" s="64"/>
      <c r="O73" s="64"/>
      <c r="P73" s="64"/>
      <c r="Q73" s="66"/>
      <c r="R73" s="56"/>
    </row>
    <row r="74" spans="4:18" ht="23.25" customHeight="1">
      <c r="E74" s="60" t="s">
        <v>28</v>
      </c>
      <c r="F74" s="61"/>
      <c r="G74" s="62" t="s">
        <v>60</v>
      </c>
      <c r="H74" s="64"/>
      <c r="I74" s="64"/>
      <c r="J74" s="64"/>
      <c r="K74" s="64"/>
      <c r="L74" s="64"/>
      <c r="M74" s="64"/>
      <c r="N74" s="64"/>
      <c r="O74" s="64"/>
      <c r="P74" s="64"/>
      <c r="Q74" s="66"/>
      <c r="R74" s="56"/>
    </row>
    <row r="75" spans="4:18" ht="23.25" customHeight="1">
      <c r="E75" s="60" t="s">
        <v>29</v>
      </c>
      <c r="F75" s="61"/>
      <c r="G75" s="62" t="s">
        <v>61</v>
      </c>
      <c r="H75" s="64"/>
      <c r="I75" s="64"/>
      <c r="J75" s="64"/>
      <c r="K75" s="64"/>
      <c r="L75" s="64"/>
      <c r="M75" s="64"/>
      <c r="N75" s="64"/>
      <c r="O75" s="64"/>
      <c r="P75" s="64"/>
      <c r="Q75" s="66"/>
      <c r="R75" s="56"/>
    </row>
    <row r="76" spans="4:18"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</row>
    <row r="77" spans="4:18" ht="13.5" customHeight="1">
      <c r="E77" s="54" t="s">
        <v>31</v>
      </c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</row>
    <row r="78" spans="4:18" ht="12" customHeight="1"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</row>
    <row r="79" spans="4:18" ht="24.75" customHeight="1">
      <c r="E79" s="57" t="s">
        <v>35</v>
      </c>
      <c r="F79" s="58"/>
      <c r="G79" s="57" t="s">
        <v>30</v>
      </c>
      <c r="H79" s="59"/>
      <c r="I79" s="59"/>
      <c r="J79" s="59"/>
      <c r="K79" s="59"/>
      <c r="L79" s="59"/>
      <c r="M79" s="59"/>
      <c r="N79" s="59"/>
      <c r="O79" s="59"/>
      <c r="P79" s="59"/>
      <c r="Q79" s="58"/>
      <c r="R79" s="56"/>
    </row>
    <row r="80" spans="4:18" ht="24.75" customHeight="1">
      <c r="E80" s="60" t="s">
        <v>32</v>
      </c>
      <c r="F80" s="61"/>
      <c r="G80" s="62" t="s">
        <v>68</v>
      </c>
      <c r="H80" s="63"/>
      <c r="I80" s="63"/>
      <c r="J80" s="63"/>
      <c r="K80" s="63"/>
      <c r="L80" s="63"/>
      <c r="M80" s="63"/>
      <c r="N80" s="63"/>
      <c r="O80" s="63"/>
      <c r="P80" s="63"/>
      <c r="Q80" s="65"/>
      <c r="R80" s="56"/>
    </row>
    <row r="81" spans="4:18" ht="24.75" customHeight="1">
      <c r="E81" s="60" t="s">
        <v>33</v>
      </c>
      <c r="F81" s="61"/>
      <c r="G81" s="62" t="s">
        <v>69</v>
      </c>
      <c r="H81" s="64"/>
      <c r="I81" s="64"/>
      <c r="J81" s="64"/>
      <c r="K81" s="64"/>
      <c r="L81" s="64"/>
      <c r="M81" s="64"/>
      <c r="N81" s="64"/>
      <c r="O81" s="64"/>
      <c r="P81" s="64"/>
      <c r="Q81" s="66"/>
      <c r="R81" s="56"/>
    </row>
    <row r="82" spans="4:18" ht="24.75" customHeight="1">
      <c r="E82" s="60" t="s">
        <v>34</v>
      </c>
      <c r="F82" s="61"/>
      <c r="G82" s="62" t="s">
        <v>70</v>
      </c>
      <c r="H82" s="64"/>
      <c r="I82" s="64"/>
      <c r="J82" s="64"/>
      <c r="K82" s="64"/>
      <c r="L82" s="64"/>
      <c r="M82" s="64"/>
      <c r="N82" s="64"/>
      <c r="O82" s="64"/>
      <c r="P82" s="64"/>
      <c r="Q82" s="66"/>
      <c r="R82" s="56"/>
    </row>
    <row r="83" spans="4:18" ht="12.75" customHeight="1">
      <c r="D83" s="42"/>
      <c r="E83" s="67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56"/>
    </row>
    <row r="84" spans="4:18" ht="13.5" customHeight="1">
      <c r="E84" s="54" t="s">
        <v>55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</row>
    <row r="85" spans="4:18" ht="10.5" customHeight="1">
      <c r="D85" s="42"/>
      <c r="E85" s="67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56"/>
    </row>
    <row r="86" spans="4:18" ht="10.5" customHeight="1">
      <c r="D86" s="42"/>
      <c r="E86" s="67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56"/>
    </row>
    <row r="87" spans="4:18">
      <c r="E87" s="67" t="s">
        <v>49</v>
      </c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56"/>
    </row>
    <row r="88" spans="4:18"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</row>
    <row r="89" spans="4:18" ht="16.2">
      <c r="D89" s="70" t="s">
        <v>58</v>
      </c>
    </row>
    <row r="90" spans="4:18" ht="21" customHeight="1">
      <c r="E90" s="54" t="s">
        <v>36</v>
      </c>
      <c r="F90" s="54"/>
      <c r="G90" s="54"/>
      <c r="H90" s="54"/>
      <c r="I90" s="54"/>
      <c r="J90" s="54"/>
      <c r="K90" s="54"/>
      <c r="L90" s="54"/>
      <c r="M90" s="54"/>
      <c r="N90" s="54"/>
      <c r="O90" s="51"/>
      <c r="P90" s="51"/>
      <c r="Q90" s="51"/>
      <c r="R90" s="51"/>
    </row>
    <row r="91" spans="4:18">
      <c r="E91" s="56"/>
      <c r="F91" s="56"/>
      <c r="G91" s="56"/>
      <c r="H91" s="56"/>
      <c r="I91" s="56"/>
      <c r="J91" s="56"/>
      <c r="K91" s="56"/>
      <c r="L91" s="56"/>
      <c r="M91" s="56"/>
      <c r="N91" s="56"/>
    </row>
    <row r="92" spans="4:18" ht="26.25" customHeight="1">
      <c r="E92" s="57" t="s">
        <v>35</v>
      </c>
      <c r="F92" s="58"/>
      <c r="G92" s="57" t="s">
        <v>30</v>
      </c>
      <c r="H92" s="59"/>
      <c r="I92" s="59"/>
      <c r="J92" s="59"/>
      <c r="K92" s="59"/>
      <c r="L92" s="59"/>
      <c r="M92" s="59"/>
      <c r="N92" s="59"/>
      <c r="O92" s="48"/>
      <c r="P92" s="48"/>
      <c r="Q92" s="47"/>
    </row>
    <row r="93" spans="4:18" ht="26.25" customHeight="1">
      <c r="E93" s="60" t="s">
        <v>37</v>
      </c>
      <c r="F93" s="61"/>
      <c r="G93" s="62" t="s">
        <v>71</v>
      </c>
      <c r="H93" s="64"/>
      <c r="I93" s="64"/>
      <c r="J93" s="64"/>
      <c r="K93" s="64"/>
      <c r="L93" s="64"/>
      <c r="M93" s="64"/>
      <c r="N93" s="64"/>
      <c r="O93" s="52"/>
      <c r="P93" s="52"/>
      <c r="Q93" s="53"/>
    </row>
    <row r="94" spans="4:18" ht="26.25" customHeight="1">
      <c r="E94" s="60" t="s">
        <v>38</v>
      </c>
      <c r="F94" s="61"/>
      <c r="G94" s="62" t="s">
        <v>72</v>
      </c>
      <c r="H94" s="64"/>
      <c r="I94" s="64"/>
      <c r="J94" s="64"/>
      <c r="K94" s="64"/>
      <c r="L94" s="64"/>
      <c r="M94" s="64"/>
      <c r="N94" s="64"/>
      <c r="O94" s="52"/>
      <c r="P94" s="52"/>
      <c r="Q94" s="53"/>
    </row>
    <row r="95" spans="4:18" ht="26.25" customHeight="1">
      <c r="E95" s="60" t="s">
        <v>39</v>
      </c>
      <c r="F95" s="61"/>
      <c r="G95" s="62" t="s">
        <v>73</v>
      </c>
      <c r="H95" s="64"/>
      <c r="I95" s="64"/>
      <c r="J95" s="64"/>
      <c r="K95" s="64"/>
      <c r="L95" s="64"/>
      <c r="M95" s="64"/>
      <c r="N95" s="64"/>
      <c r="O95" s="52"/>
      <c r="P95" s="52"/>
      <c r="Q95" s="53"/>
    </row>
    <row r="96" spans="4:18">
      <c r="E96" s="56"/>
      <c r="F96" s="56"/>
      <c r="G96" s="56"/>
      <c r="H96" s="56"/>
      <c r="I96" s="56"/>
      <c r="J96" s="56"/>
      <c r="K96" s="56"/>
      <c r="L96" s="56"/>
      <c r="M96" s="56"/>
      <c r="N96" s="56"/>
    </row>
    <row r="97" spans="5:17" ht="13.5" customHeight="1">
      <c r="E97" s="54" t="s">
        <v>40</v>
      </c>
      <c r="F97" s="54"/>
      <c r="G97" s="54"/>
      <c r="H97" s="54"/>
      <c r="I97" s="54"/>
      <c r="J97" s="54"/>
      <c r="K97" s="54"/>
      <c r="L97" s="54"/>
      <c r="M97" s="54"/>
      <c r="N97" s="54"/>
      <c r="O97" s="51"/>
      <c r="P97" s="51"/>
      <c r="Q97" s="51"/>
    </row>
    <row r="98" spans="5:17"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1"/>
      <c r="P98" s="51"/>
      <c r="Q98" s="51"/>
    </row>
    <row r="99" spans="5:17" ht="13.5" customHeight="1">
      <c r="E99" s="54" t="s">
        <v>46</v>
      </c>
      <c r="F99" s="54"/>
      <c r="G99" s="54"/>
      <c r="H99" s="54"/>
      <c r="I99" s="54"/>
      <c r="J99" s="54"/>
      <c r="K99" s="54"/>
      <c r="L99" s="54"/>
      <c r="M99" s="54"/>
      <c r="N99" s="54"/>
      <c r="O99" s="51"/>
      <c r="P99" s="51"/>
      <c r="Q99" s="51"/>
    </row>
    <row r="100" spans="5:17"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1"/>
      <c r="P100" s="51"/>
      <c r="Q100" s="51"/>
    </row>
    <row r="101" spans="5:17" ht="13.5" customHeight="1">
      <c r="E101" s="54" t="s">
        <v>42</v>
      </c>
      <c r="F101" s="54"/>
      <c r="G101" s="54"/>
      <c r="H101" s="54"/>
      <c r="I101" s="54"/>
      <c r="J101" s="54"/>
      <c r="K101" s="54"/>
      <c r="L101" s="54"/>
      <c r="M101" s="54"/>
      <c r="N101" s="54"/>
      <c r="O101" s="51"/>
      <c r="P101" s="51"/>
      <c r="Q101" s="51"/>
    </row>
    <row r="102" spans="5:17" ht="13.5" customHeight="1">
      <c r="E102" s="69" t="s">
        <v>45</v>
      </c>
      <c r="F102" s="54" t="s">
        <v>43</v>
      </c>
      <c r="G102" s="54"/>
      <c r="H102" s="54"/>
      <c r="I102" s="54"/>
      <c r="J102" s="54"/>
      <c r="K102" s="54"/>
      <c r="L102" s="54"/>
      <c r="M102" s="54"/>
      <c r="N102" s="54"/>
      <c r="O102" s="51"/>
      <c r="P102" s="51"/>
      <c r="Q102" s="51"/>
    </row>
    <row r="103" spans="5:17" ht="13.5" customHeight="1">
      <c r="E103" s="69" t="s">
        <v>45</v>
      </c>
      <c r="F103" s="54" t="s">
        <v>44</v>
      </c>
      <c r="G103" s="54"/>
      <c r="H103" s="54"/>
      <c r="I103" s="54"/>
      <c r="J103" s="54"/>
      <c r="K103" s="54"/>
      <c r="L103" s="54"/>
      <c r="M103" s="54"/>
      <c r="N103" s="54"/>
      <c r="O103" s="51"/>
      <c r="P103" s="51"/>
      <c r="Q103" s="51"/>
    </row>
    <row r="104" spans="5:17" ht="13.5" customHeight="1">
      <c r="E104" s="69" t="s">
        <v>45</v>
      </c>
      <c r="F104" s="54" t="s">
        <v>47</v>
      </c>
      <c r="G104" s="54"/>
      <c r="H104" s="54"/>
      <c r="I104" s="54"/>
      <c r="J104" s="54"/>
      <c r="K104" s="54"/>
      <c r="L104" s="54"/>
      <c r="M104" s="54"/>
      <c r="N104" s="54"/>
      <c r="O104" s="51"/>
      <c r="P104" s="51"/>
      <c r="Q104" s="51"/>
    </row>
  </sheetData>
  <mergeCells count="3">
    <mergeCell ref="A1:M1"/>
    <mergeCell ref="N1:R1"/>
    <mergeCell ref="E7:P7"/>
  </mergeCells>
  <phoneticPr fontId="49"/>
  <pageMargins left="0.23622047244094491" right="0.23622047244094491" top="0.55118110236220474" bottom="0.55118110236220474" header="0.31496062992125984" footer="0.31496062992125984"/>
  <pageSetup paperSize="9" scale="67" fitToHeight="0" orientation="portrait" r:id="rId1"/>
  <headerFooter>
    <oddHeader>&amp;R印刷日：&amp;D</oddHeader>
    <oddFooter xml:space="preserve">&amp;LCONFIDENTIAL&amp;C&amp;P／&amp;N&amp;RCopyright Toppan Printing Co., Ltd. All rights reserved. </oddFooter>
  </headerFooter>
  <rowBreaks count="1" manualBreakCount="1">
    <brk id="60" max="1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2757-7EC4-4D50-8194-A1C30E5642BA}">
  <sheetPr codeName="Sheet6">
    <pageSetUpPr fitToPage="1"/>
  </sheetPr>
  <dimension ref="A1:E24"/>
  <sheetViews>
    <sheetView view="pageBreakPreview" zoomScaleNormal="85" zoomScaleSheetLayoutView="100" workbookViewId="0">
      <selection sqref="A1:E1"/>
    </sheetView>
  </sheetViews>
  <sheetFormatPr defaultColWidth="2.6640625" defaultRowHeight="13.2"/>
  <cols>
    <col min="1" max="1" width="1.6640625" style="31" customWidth="1"/>
    <col min="2" max="2" width="7.77734375" style="31" customWidth="1"/>
    <col min="3" max="3" width="10.6640625" style="75" customWidth="1"/>
    <col min="4" max="4" width="13.33203125" style="74" customWidth="1"/>
    <col min="5" max="5" width="74.109375" style="31" customWidth="1"/>
    <col min="6" max="16384" width="2.6640625" style="31"/>
  </cols>
  <sheetData>
    <row r="1" spans="1:5" ht="21" customHeight="1">
      <c r="A1" s="174" t="s">
        <v>65</v>
      </c>
      <c r="B1" s="174"/>
      <c r="C1" s="174"/>
      <c r="D1" s="174"/>
      <c r="E1" s="174"/>
    </row>
    <row r="2" spans="1:5" ht="12.75" customHeight="1">
      <c r="A2" s="73"/>
      <c r="B2" s="76"/>
      <c r="C2" s="76"/>
      <c r="D2" s="76"/>
      <c r="E2" s="76"/>
    </row>
    <row r="3" spans="1:5">
      <c r="B3" s="105" t="s">
        <v>21</v>
      </c>
      <c r="C3" s="105" t="s">
        <v>22</v>
      </c>
      <c r="D3" s="105" t="s">
        <v>23</v>
      </c>
      <c r="E3" s="105" t="s">
        <v>24</v>
      </c>
    </row>
    <row r="4" spans="1:5">
      <c r="B4" s="99"/>
      <c r="C4" s="99"/>
      <c r="D4" s="100"/>
      <c r="E4" s="101"/>
    </row>
    <row r="5" spans="1:5">
      <c r="B5" s="99"/>
      <c r="C5" s="99"/>
      <c r="D5" s="100"/>
      <c r="E5" s="102"/>
    </row>
    <row r="6" spans="1:5">
      <c r="B6" s="99"/>
      <c r="C6" s="99"/>
      <c r="D6" s="100"/>
      <c r="E6" s="102"/>
    </row>
    <row r="7" spans="1:5">
      <c r="B7" s="99"/>
      <c r="C7" s="99"/>
      <c r="D7" s="100"/>
      <c r="E7" s="102"/>
    </row>
    <row r="8" spans="1:5">
      <c r="B8" s="99"/>
      <c r="C8" s="99"/>
      <c r="D8" s="100"/>
      <c r="E8" s="102"/>
    </row>
    <row r="9" spans="1:5">
      <c r="B9" s="99"/>
      <c r="C9" s="99"/>
      <c r="D9" s="100"/>
      <c r="E9" s="102"/>
    </row>
    <row r="10" spans="1:5">
      <c r="B10" s="104"/>
      <c r="C10" s="99"/>
      <c r="D10" s="100"/>
      <c r="E10" s="102"/>
    </row>
    <row r="11" spans="1:5">
      <c r="B11" s="104"/>
      <c r="C11" s="99"/>
      <c r="D11" s="100"/>
      <c r="E11" s="102"/>
    </row>
    <row r="12" spans="1:5">
      <c r="B12" s="104"/>
      <c r="C12" s="99"/>
      <c r="D12" s="100"/>
      <c r="E12" s="102"/>
    </row>
    <row r="13" spans="1:5">
      <c r="B13" s="104"/>
      <c r="C13" s="99"/>
      <c r="D13" s="100"/>
      <c r="E13" s="102"/>
    </row>
    <row r="14" spans="1:5">
      <c r="B14" s="104"/>
      <c r="C14" s="99"/>
      <c r="D14" s="100"/>
      <c r="E14" s="102"/>
    </row>
    <row r="15" spans="1:5">
      <c r="B15" s="99"/>
      <c r="C15" s="99"/>
      <c r="D15" s="100"/>
      <c r="E15" s="102"/>
    </row>
    <row r="16" spans="1:5">
      <c r="B16" s="99"/>
      <c r="C16" s="99"/>
      <c r="D16" s="100"/>
      <c r="E16" s="102"/>
    </row>
    <row r="17" spans="2:5">
      <c r="B17" s="99"/>
      <c r="C17" s="99"/>
      <c r="D17" s="100"/>
      <c r="E17" s="102"/>
    </row>
    <row r="18" spans="2:5">
      <c r="B18" s="99"/>
      <c r="C18" s="99"/>
      <c r="D18" s="100"/>
      <c r="E18" s="102"/>
    </row>
    <row r="19" spans="2:5">
      <c r="B19" s="99"/>
      <c r="C19" s="99"/>
      <c r="D19" s="100"/>
      <c r="E19" s="102"/>
    </row>
    <row r="20" spans="2:5">
      <c r="B20" s="99"/>
      <c r="C20" s="99"/>
      <c r="D20" s="100"/>
      <c r="E20" s="102"/>
    </row>
    <row r="21" spans="2:5">
      <c r="B21" s="99"/>
      <c r="C21" s="99"/>
      <c r="D21" s="100"/>
      <c r="E21" s="102"/>
    </row>
    <row r="22" spans="2:5">
      <c r="B22" s="99"/>
      <c r="C22" s="99"/>
      <c r="D22" s="100"/>
      <c r="E22" s="102"/>
    </row>
    <row r="23" spans="2:5" ht="14.25" customHeight="1">
      <c r="B23" s="99"/>
      <c r="C23" s="99"/>
      <c r="D23" s="100"/>
      <c r="E23" s="102"/>
    </row>
    <row r="24" spans="2:5">
      <c r="B24" s="99"/>
      <c r="C24" s="99"/>
      <c r="D24" s="100"/>
      <c r="E24" s="103"/>
    </row>
  </sheetData>
  <mergeCells count="1">
    <mergeCell ref="A1:E1"/>
  </mergeCells>
  <phoneticPr fontId="2"/>
  <pageMargins left="0.39370078740157483" right="0.39370078740157483" top="0.39370078740157483" bottom="0.39370078740157483" header="0.51181102362204722" footer="0.51181102362204722"/>
  <pageSetup paperSize="9" scale="90" fitToHeight="0" orientation="portrait" r:id="rId1"/>
  <headerFooter alignWithMargins="0"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6755-0A76-420B-975F-A56D2800D22B}">
  <sheetPr codeName="Sheet2">
    <pageSetUpPr fitToPage="1"/>
  </sheetPr>
  <dimension ref="B1:G204"/>
  <sheetViews>
    <sheetView topLeftCell="A85" zoomScale="85" zoomScaleNormal="85" zoomScaleSheetLayoutView="50" workbookViewId="0">
      <selection activeCell="G46" sqref="G46"/>
    </sheetView>
  </sheetViews>
  <sheetFormatPr defaultColWidth="9" defaultRowHeight="13.2"/>
  <cols>
    <col min="1" max="1" width="0.88671875" style="4" customWidth="1"/>
    <col min="2" max="2" width="3.109375" style="4" customWidth="1"/>
    <col min="3" max="3" width="5" style="81" customWidth="1"/>
    <col min="4" max="4" width="31.33203125" style="4" customWidth="1"/>
    <col min="5" max="5" width="50.109375" style="4" customWidth="1"/>
    <col min="6" max="6" width="9.44140625" style="4" customWidth="1"/>
    <col min="7" max="7" width="45" style="4" customWidth="1"/>
    <col min="8" max="16384" width="9" style="4"/>
  </cols>
  <sheetData>
    <row r="1" spans="2:7">
      <c r="B1" s="181"/>
      <c r="C1" s="181"/>
      <c r="D1" s="77"/>
      <c r="E1" s="78"/>
      <c r="F1" s="79"/>
      <c r="G1" s="79"/>
    </row>
    <row r="2" spans="2:7">
      <c r="B2" s="181"/>
      <c r="C2" s="181"/>
      <c r="D2" s="182"/>
      <c r="E2" s="182"/>
      <c r="F2" s="182"/>
      <c r="G2" s="80"/>
    </row>
    <row r="3" spans="2:7">
      <c r="B3" s="181"/>
      <c r="C3" s="181"/>
      <c r="D3" s="182"/>
      <c r="E3" s="182"/>
      <c r="F3" s="182"/>
      <c r="G3" s="80"/>
    </row>
    <row r="4" spans="2:7" ht="13.5" customHeight="1"/>
    <row r="5" spans="2:7" ht="13.5" customHeight="1"/>
    <row r="6" spans="2:7" ht="13.5" customHeight="1"/>
    <row r="7" spans="2:7" ht="13.5" customHeight="1"/>
    <row r="8" spans="2:7" ht="13.5" customHeight="1"/>
    <row r="11" spans="2:7" ht="14.25" customHeight="1">
      <c r="B11" s="150" t="s">
        <v>74</v>
      </c>
      <c r="C11" s="183" t="s">
        <v>75</v>
      </c>
      <c r="D11" s="150" t="s">
        <v>76</v>
      </c>
      <c r="E11" s="150" t="s">
        <v>77</v>
      </c>
      <c r="F11" s="150" t="s">
        <v>78</v>
      </c>
      <c r="G11" s="150" t="s">
        <v>79</v>
      </c>
    </row>
    <row r="12" spans="2:7" ht="13.8" thickBot="1">
      <c r="B12" s="151"/>
      <c r="C12" s="184"/>
      <c r="D12" s="151"/>
      <c r="E12" s="151"/>
      <c r="F12" s="151"/>
      <c r="G12" s="151"/>
    </row>
    <row r="13" spans="2:7" ht="18" customHeight="1" thickTop="1">
      <c r="B13" s="93"/>
      <c r="C13" s="178" t="s">
        <v>80</v>
      </c>
      <c r="D13" s="179"/>
      <c r="E13" s="179"/>
      <c r="F13" s="179"/>
      <c r="G13" s="180"/>
    </row>
    <row r="14" spans="2:7" ht="18" customHeight="1">
      <c r="B14" s="22"/>
      <c r="C14" s="95" t="s">
        <v>81</v>
      </c>
      <c r="D14" s="96"/>
      <c r="E14" s="82"/>
      <c r="F14" s="85"/>
      <c r="G14" s="82"/>
    </row>
    <row r="15" spans="2:7" ht="33.75" customHeight="1">
      <c r="B15" s="22"/>
      <c r="C15" s="87"/>
      <c r="D15" s="82" t="s">
        <v>82</v>
      </c>
      <c r="E15" s="82"/>
      <c r="F15" s="85"/>
      <c r="G15" s="82" t="s">
        <v>83</v>
      </c>
    </row>
    <row r="16" spans="2:7" ht="65.25" customHeight="1">
      <c r="B16" s="22"/>
      <c r="C16" s="87"/>
      <c r="D16" s="82" t="s">
        <v>84</v>
      </c>
      <c r="E16" s="82" t="s">
        <v>85</v>
      </c>
      <c r="F16" s="85"/>
      <c r="G16" s="84"/>
    </row>
    <row r="17" spans="2:7" ht="27.75" customHeight="1">
      <c r="B17" s="22"/>
      <c r="C17" s="87"/>
      <c r="D17" s="82" t="s">
        <v>86</v>
      </c>
      <c r="E17" s="82" t="s">
        <v>87</v>
      </c>
      <c r="F17" s="85"/>
      <c r="G17" s="82"/>
    </row>
    <row r="18" spans="2:7" ht="33" customHeight="1">
      <c r="B18" s="22"/>
      <c r="C18" s="87"/>
      <c r="D18" s="82" t="s">
        <v>88</v>
      </c>
      <c r="E18" s="82"/>
      <c r="F18" s="85"/>
      <c r="G18" s="84" t="s">
        <v>321</v>
      </c>
    </row>
    <row r="19" spans="2:7" ht="18" customHeight="1">
      <c r="B19" s="22"/>
      <c r="C19" s="87"/>
      <c r="D19" s="82" t="s">
        <v>89</v>
      </c>
      <c r="E19" s="82"/>
      <c r="F19" s="85"/>
      <c r="G19" s="82"/>
    </row>
    <row r="20" spans="2:7" ht="18" customHeight="1">
      <c r="B20" s="22"/>
      <c r="C20" s="87"/>
      <c r="D20" s="82" t="s">
        <v>90</v>
      </c>
      <c r="E20" s="82"/>
      <c r="F20" s="85"/>
      <c r="G20" s="82"/>
    </row>
    <row r="21" spans="2:7" ht="18" customHeight="1">
      <c r="B21" s="22"/>
      <c r="C21" s="87"/>
      <c r="D21" s="82" t="s">
        <v>91</v>
      </c>
      <c r="E21" s="82"/>
      <c r="F21" s="85"/>
      <c r="G21" s="82" t="s">
        <v>92</v>
      </c>
    </row>
    <row r="22" spans="2:7" ht="18" customHeight="1">
      <c r="B22" s="22"/>
      <c r="C22" s="87"/>
      <c r="D22" s="82" t="s">
        <v>93</v>
      </c>
      <c r="E22" s="82"/>
      <c r="F22" s="85"/>
      <c r="G22" s="82" t="s">
        <v>94</v>
      </c>
    </row>
    <row r="23" spans="2:7" ht="42" customHeight="1">
      <c r="B23" s="22"/>
      <c r="C23" s="87"/>
      <c r="D23" s="82" t="s">
        <v>95</v>
      </c>
      <c r="E23" s="82" t="s">
        <v>96</v>
      </c>
      <c r="F23" s="85"/>
      <c r="G23" s="84" t="s">
        <v>318</v>
      </c>
    </row>
    <row r="24" spans="2:7" ht="18" customHeight="1">
      <c r="B24" s="22"/>
      <c r="C24" s="95" t="s">
        <v>98</v>
      </c>
      <c r="D24" s="96"/>
      <c r="E24" s="82"/>
      <c r="F24" s="85"/>
      <c r="G24" s="82"/>
    </row>
    <row r="25" spans="2:7" ht="69" customHeight="1">
      <c r="B25" s="22"/>
      <c r="C25" s="87"/>
      <c r="D25" s="82" t="s">
        <v>99</v>
      </c>
      <c r="E25" s="84" t="s">
        <v>343</v>
      </c>
      <c r="F25" s="85"/>
      <c r="G25" s="84" t="s">
        <v>344</v>
      </c>
    </row>
    <row r="26" spans="2:7" ht="18" customHeight="1">
      <c r="B26" s="22"/>
      <c r="C26" s="87"/>
      <c r="D26" s="82" t="s">
        <v>100</v>
      </c>
      <c r="E26" s="82"/>
      <c r="F26" s="85"/>
      <c r="G26" s="82" t="s">
        <v>101</v>
      </c>
    </row>
    <row r="27" spans="2:7" ht="18" customHeight="1">
      <c r="B27" s="22"/>
      <c r="C27" s="95" t="s">
        <v>102</v>
      </c>
      <c r="D27" s="96"/>
      <c r="E27" s="82"/>
      <c r="F27" s="85"/>
      <c r="G27" s="82"/>
    </row>
    <row r="28" spans="2:7" ht="33.75" customHeight="1">
      <c r="B28" s="22"/>
      <c r="C28" s="87"/>
      <c r="D28" s="82" t="s">
        <v>103</v>
      </c>
      <c r="E28" s="82"/>
      <c r="F28" s="85"/>
      <c r="G28" s="82" t="s">
        <v>104</v>
      </c>
    </row>
    <row r="29" spans="2:7" ht="19.5" customHeight="1">
      <c r="B29" s="22"/>
      <c r="C29" s="87"/>
      <c r="D29" s="82" t="s">
        <v>100</v>
      </c>
      <c r="E29" s="82"/>
      <c r="F29" s="85"/>
      <c r="G29" s="82" t="s">
        <v>105</v>
      </c>
    </row>
    <row r="30" spans="2:7" ht="18" customHeight="1">
      <c r="B30" s="22"/>
      <c r="C30" s="95" t="s">
        <v>106</v>
      </c>
      <c r="D30" s="96"/>
      <c r="E30" s="82"/>
      <c r="F30" s="85"/>
      <c r="G30" s="82"/>
    </row>
    <row r="31" spans="2:7" ht="18" customHeight="1">
      <c r="B31" s="22"/>
      <c r="C31" s="87"/>
      <c r="D31" s="82" t="s">
        <v>107</v>
      </c>
      <c r="E31" s="82" t="s">
        <v>108</v>
      </c>
      <c r="F31" s="85"/>
      <c r="G31" s="82"/>
    </row>
    <row r="32" spans="2:7" ht="26.4">
      <c r="B32" s="22"/>
      <c r="C32" s="87"/>
      <c r="D32" s="82" t="s">
        <v>109</v>
      </c>
      <c r="E32" s="82" t="s">
        <v>110</v>
      </c>
      <c r="F32" s="85"/>
      <c r="G32" s="84" t="s">
        <v>332</v>
      </c>
    </row>
    <row r="33" spans="2:7">
      <c r="B33" s="22"/>
      <c r="C33" s="87"/>
      <c r="D33" s="82" t="s">
        <v>111</v>
      </c>
      <c r="E33" s="82" t="s">
        <v>110</v>
      </c>
      <c r="F33" s="85"/>
      <c r="G33" s="82" t="s">
        <v>112</v>
      </c>
    </row>
    <row r="34" spans="2:7" ht="18" customHeight="1">
      <c r="B34" s="22"/>
      <c r="C34" s="87"/>
      <c r="D34" s="82" t="s">
        <v>113</v>
      </c>
      <c r="E34" s="82" t="s">
        <v>110</v>
      </c>
      <c r="F34" s="85"/>
      <c r="G34" s="84" t="s">
        <v>333</v>
      </c>
    </row>
    <row r="35" spans="2:7" ht="18" customHeight="1">
      <c r="B35" s="22"/>
      <c r="C35" s="95" t="s">
        <v>114</v>
      </c>
      <c r="D35" s="96"/>
      <c r="E35" s="82"/>
      <c r="F35" s="85"/>
      <c r="G35" s="82"/>
    </row>
    <row r="36" spans="2:7" ht="44.25" customHeight="1">
      <c r="B36" s="22"/>
      <c r="C36" s="87"/>
      <c r="D36" s="82" t="s">
        <v>115</v>
      </c>
      <c r="E36" s="82" t="s">
        <v>116</v>
      </c>
      <c r="F36" s="85"/>
      <c r="G36" s="84" t="s">
        <v>319</v>
      </c>
    </row>
    <row r="37" spans="2:7">
      <c r="B37" s="22"/>
      <c r="C37" s="87"/>
      <c r="D37" s="82" t="s">
        <v>117</v>
      </c>
      <c r="E37" s="82" t="s">
        <v>118</v>
      </c>
      <c r="F37" s="85"/>
      <c r="G37" s="82" t="s">
        <v>119</v>
      </c>
    </row>
    <row r="38" spans="2:7" ht="18" customHeight="1">
      <c r="B38" s="22"/>
      <c r="C38" s="87"/>
      <c r="D38" s="82" t="s">
        <v>120</v>
      </c>
      <c r="E38" s="82" t="s">
        <v>118</v>
      </c>
      <c r="F38" s="85"/>
      <c r="G38" s="82" t="s">
        <v>121</v>
      </c>
    </row>
    <row r="39" spans="2:7" ht="18" customHeight="1">
      <c r="B39" s="22"/>
      <c r="C39" s="87"/>
      <c r="D39" s="82" t="s">
        <v>122</v>
      </c>
      <c r="E39" s="82" t="s">
        <v>123</v>
      </c>
      <c r="F39" s="85"/>
      <c r="G39" s="82" t="s">
        <v>94</v>
      </c>
    </row>
    <row r="40" spans="2:7" ht="18" customHeight="1">
      <c r="B40" s="22"/>
      <c r="C40" s="87"/>
      <c r="D40" s="82" t="s">
        <v>124</v>
      </c>
      <c r="E40" s="82" t="s">
        <v>125</v>
      </c>
      <c r="F40" s="85"/>
      <c r="G40" s="82" t="s">
        <v>317</v>
      </c>
    </row>
    <row r="41" spans="2:7" ht="18" customHeight="1">
      <c r="B41" s="22"/>
      <c r="C41" s="95" t="s">
        <v>126</v>
      </c>
      <c r="D41" s="96"/>
      <c r="E41" s="82"/>
      <c r="F41" s="85"/>
      <c r="G41" s="82"/>
    </row>
    <row r="42" spans="2:7" ht="26.4">
      <c r="B42" s="22"/>
      <c r="C42" s="87"/>
      <c r="D42" s="82" t="s">
        <v>127</v>
      </c>
      <c r="E42" s="82"/>
      <c r="F42" s="85"/>
      <c r="G42" s="84" t="s">
        <v>330</v>
      </c>
    </row>
    <row r="43" spans="2:7" ht="18" customHeight="1">
      <c r="B43" s="22"/>
      <c r="C43" s="87"/>
      <c r="D43" s="82" t="s">
        <v>128</v>
      </c>
      <c r="E43" s="82"/>
      <c r="F43" s="85"/>
      <c r="G43" s="82" t="s">
        <v>345</v>
      </c>
    </row>
    <row r="44" spans="2:7" ht="18" customHeight="1">
      <c r="B44" s="22"/>
      <c r="C44" s="87"/>
      <c r="D44" s="82"/>
      <c r="E44" s="82"/>
      <c r="F44" s="85"/>
      <c r="G44" s="82"/>
    </row>
    <row r="45" spans="2:7" ht="18" customHeight="1">
      <c r="B45" s="94"/>
      <c r="C45" s="175" t="s">
        <v>129</v>
      </c>
      <c r="D45" s="176"/>
      <c r="E45" s="176"/>
      <c r="F45" s="176"/>
      <c r="G45" s="177"/>
    </row>
    <row r="46" spans="2:7" ht="18" customHeight="1">
      <c r="B46" s="22"/>
      <c r="C46" s="87" t="s">
        <v>130</v>
      </c>
      <c r="D46" s="82"/>
      <c r="E46" s="82"/>
      <c r="F46" s="85"/>
      <c r="G46" s="82"/>
    </row>
    <row r="47" spans="2:7" ht="18" customHeight="1">
      <c r="B47" s="22"/>
      <c r="C47" s="87"/>
      <c r="D47" s="82" t="s">
        <v>131</v>
      </c>
      <c r="E47" s="82"/>
      <c r="F47" s="85"/>
      <c r="G47" s="82" t="s">
        <v>132</v>
      </c>
    </row>
    <row r="48" spans="2:7" ht="30.75" customHeight="1">
      <c r="B48" s="22"/>
      <c r="C48" s="87"/>
      <c r="D48" s="82" t="s">
        <v>133</v>
      </c>
      <c r="E48" s="82"/>
      <c r="F48" s="85"/>
      <c r="G48" s="84" t="s">
        <v>324</v>
      </c>
    </row>
    <row r="49" spans="2:7" ht="18" customHeight="1">
      <c r="B49" s="22"/>
      <c r="C49" s="87"/>
      <c r="D49" s="82" t="s">
        <v>134</v>
      </c>
      <c r="E49" s="82" t="s">
        <v>135</v>
      </c>
      <c r="F49" s="85"/>
      <c r="G49" s="82" t="s">
        <v>136</v>
      </c>
    </row>
    <row r="50" spans="2:7" ht="48.75" customHeight="1">
      <c r="B50" s="22"/>
      <c r="C50" s="87"/>
      <c r="D50" s="82" t="s">
        <v>137</v>
      </c>
      <c r="E50" s="82" t="s">
        <v>138</v>
      </c>
      <c r="F50" s="85"/>
      <c r="G50" s="84" t="s">
        <v>334</v>
      </c>
    </row>
    <row r="51" spans="2:7" ht="18" customHeight="1">
      <c r="B51" s="22"/>
      <c r="C51" s="87"/>
      <c r="D51" s="82" t="s">
        <v>139</v>
      </c>
      <c r="E51" s="82" t="s">
        <v>140</v>
      </c>
      <c r="F51" s="85"/>
      <c r="G51" s="82"/>
    </row>
    <row r="52" spans="2:7" ht="18" customHeight="1">
      <c r="B52" s="22"/>
      <c r="C52" s="87"/>
      <c r="D52" s="82" t="s">
        <v>141</v>
      </c>
      <c r="E52" s="82" t="s">
        <v>142</v>
      </c>
      <c r="F52" s="85"/>
      <c r="G52" s="82"/>
    </row>
    <row r="53" spans="2:7" ht="35.25" customHeight="1">
      <c r="B53" s="22"/>
      <c r="C53" s="87"/>
      <c r="D53" s="82" t="s">
        <v>143</v>
      </c>
      <c r="E53" s="84" t="s">
        <v>335</v>
      </c>
      <c r="F53" s="85"/>
      <c r="G53" s="82" t="s">
        <v>144</v>
      </c>
    </row>
    <row r="54" spans="2:7" ht="28.5" customHeight="1">
      <c r="B54" s="22"/>
      <c r="C54" s="87"/>
      <c r="D54" s="82" t="s">
        <v>88</v>
      </c>
      <c r="E54" s="82"/>
      <c r="F54" s="85"/>
      <c r="G54" s="84" t="s">
        <v>325</v>
      </c>
    </row>
    <row r="55" spans="2:7" ht="18" customHeight="1">
      <c r="B55" s="22"/>
      <c r="C55" s="87"/>
      <c r="D55" s="82" t="s">
        <v>89</v>
      </c>
      <c r="E55" s="82"/>
      <c r="F55" s="85"/>
      <c r="G55" s="82"/>
    </row>
    <row r="56" spans="2:7" ht="18" customHeight="1">
      <c r="B56" s="22"/>
      <c r="C56" s="87"/>
      <c r="D56" s="82" t="s">
        <v>90</v>
      </c>
      <c r="E56" s="82"/>
      <c r="F56" s="85"/>
      <c r="G56" s="82"/>
    </row>
    <row r="57" spans="2:7" ht="39.75" customHeight="1">
      <c r="B57" s="22"/>
      <c r="C57" s="87"/>
      <c r="D57" s="82" t="s">
        <v>145</v>
      </c>
      <c r="E57" s="82"/>
      <c r="F57" s="85"/>
      <c r="G57" s="84" t="s">
        <v>325</v>
      </c>
    </row>
    <row r="58" spans="2:7" ht="18" customHeight="1">
      <c r="B58" s="22"/>
      <c r="C58" s="87"/>
      <c r="D58" s="82" t="s">
        <v>146</v>
      </c>
      <c r="E58" s="82"/>
      <c r="F58" s="85"/>
      <c r="G58" s="82"/>
    </row>
    <row r="59" spans="2:7" ht="37.5" customHeight="1">
      <c r="B59" s="22"/>
      <c r="C59" s="87"/>
      <c r="D59" s="82" t="s">
        <v>147</v>
      </c>
      <c r="E59" s="82"/>
      <c r="F59" s="85"/>
      <c r="G59" s="84" t="s">
        <v>318</v>
      </c>
    </row>
    <row r="60" spans="2:7" ht="18" customHeight="1">
      <c r="B60" s="22"/>
      <c r="C60" s="87" t="s">
        <v>148</v>
      </c>
      <c r="D60" s="82"/>
      <c r="E60" s="82"/>
      <c r="F60" s="85"/>
      <c r="G60" s="82"/>
    </row>
    <row r="61" spans="2:7" ht="32.25" customHeight="1">
      <c r="B61" s="22"/>
      <c r="C61" s="87"/>
      <c r="D61" s="82" t="s">
        <v>149</v>
      </c>
      <c r="E61" s="82"/>
      <c r="F61" s="85"/>
      <c r="G61" s="84" t="s">
        <v>326</v>
      </c>
    </row>
    <row r="62" spans="2:7" ht="18" customHeight="1">
      <c r="B62" s="22"/>
      <c r="C62" s="87"/>
      <c r="D62" s="82" t="s">
        <v>150</v>
      </c>
      <c r="E62" s="82"/>
      <c r="F62" s="85"/>
      <c r="G62" s="82" t="s">
        <v>151</v>
      </c>
    </row>
    <row r="63" spans="2:7" ht="18" customHeight="1">
      <c r="B63" s="22"/>
      <c r="C63" s="87"/>
      <c r="D63" s="82" t="s">
        <v>152</v>
      </c>
      <c r="E63" s="82" t="s">
        <v>153</v>
      </c>
      <c r="F63" s="85"/>
      <c r="G63" s="82" t="s">
        <v>154</v>
      </c>
    </row>
    <row r="64" spans="2:7" ht="18" customHeight="1">
      <c r="B64" s="22"/>
      <c r="C64" s="87"/>
      <c r="D64" s="82" t="s">
        <v>155</v>
      </c>
      <c r="E64" s="82" t="s">
        <v>156</v>
      </c>
      <c r="F64" s="85"/>
      <c r="G64" s="82" t="s">
        <v>157</v>
      </c>
    </row>
    <row r="65" spans="2:7" ht="18" customHeight="1">
      <c r="B65" s="22"/>
      <c r="C65" s="87"/>
      <c r="D65" s="82" t="s">
        <v>158</v>
      </c>
      <c r="E65" s="82" t="s">
        <v>159</v>
      </c>
      <c r="F65" s="85"/>
      <c r="G65" s="82" t="s">
        <v>160</v>
      </c>
    </row>
    <row r="66" spans="2:7" ht="18" customHeight="1">
      <c r="B66" s="22"/>
      <c r="C66" s="87"/>
      <c r="D66" s="82" t="s">
        <v>161</v>
      </c>
      <c r="E66" s="82" t="s">
        <v>162</v>
      </c>
      <c r="F66" s="85"/>
      <c r="G66" s="82" t="s">
        <v>163</v>
      </c>
    </row>
    <row r="67" spans="2:7" ht="18" customHeight="1">
      <c r="B67" s="22"/>
      <c r="C67" s="87"/>
      <c r="D67" s="82" t="s">
        <v>164</v>
      </c>
      <c r="E67" s="82" t="s">
        <v>165</v>
      </c>
      <c r="F67" s="85"/>
      <c r="G67" s="82" t="s">
        <v>166</v>
      </c>
    </row>
    <row r="68" spans="2:7" ht="18" customHeight="1">
      <c r="B68" s="22"/>
      <c r="C68" s="87"/>
      <c r="D68" s="82" t="s">
        <v>167</v>
      </c>
      <c r="E68" s="82" t="s">
        <v>168</v>
      </c>
      <c r="F68" s="85"/>
      <c r="G68" s="82" t="s">
        <v>169</v>
      </c>
    </row>
    <row r="69" spans="2:7" ht="18" customHeight="1">
      <c r="B69" s="22"/>
      <c r="C69" s="87"/>
      <c r="D69" s="82" t="s">
        <v>170</v>
      </c>
      <c r="E69" s="82" t="s">
        <v>171</v>
      </c>
      <c r="F69" s="85"/>
      <c r="G69" s="82" t="s">
        <v>172</v>
      </c>
    </row>
    <row r="70" spans="2:7" ht="18" customHeight="1">
      <c r="B70" s="22"/>
      <c r="C70" s="87"/>
      <c r="D70" s="82" t="s">
        <v>173</v>
      </c>
      <c r="E70" s="82" t="s">
        <v>174</v>
      </c>
      <c r="F70" s="85"/>
      <c r="G70" s="82" t="s">
        <v>175</v>
      </c>
    </row>
    <row r="71" spans="2:7" ht="30" customHeight="1">
      <c r="B71" s="22"/>
      <c r="C71" s="87"/>
      <c r="D71" s="82" t="s">
        <v>88</v>
      </c>
      <c r="E71" s="82"/>
      <c r="F71" s="85"/>
      <c r="G71" s="84" t="s">
        <v>325</v>
      </c>
    </row>
    <row r="72" spans="2:7" ht="18" customHeight="1">
      <c r="B72" s="22"/>
      <c r="C72" s="87"/>
      <c r="D72" s="82" t="s">
        <v>89</v>
      </c>
      <c r="E72" s="82"/>
      <c r="F72" s="85"/>
      <c r="G72" s="82"/>
    </row>
    <row r="73" spans="2:7" ht="18" customHeight="1">
      <c r="B73" s="22"/>
      <c r="C73" s="87"/>
      <c r="D73" s="82" t="s">
        <v>90</v>
      </c>
      <c r="E73" s="82"/>
      <c r="F73" s="85"/>
      <c r="G73" s="82"/>
    </row>
    <row r="74" spans="2:7" ht="52.8">
      <c r="B74" s="22"/>
      <c r="C74" s="87"/>
      <c r="D74" s="82" t="s">
        <v>145</v>
      </c>
      <c r="E74" s="82"/>
      <c r="F74" s="85"/>
      <c r="G74" s="84" t="s">
        <v>327</v>
      </c>
    </row>
    <row r="75" spans="2:7" ht="18" customHeight="1">
      <c r="B75" s="22"/>
      <c r="C75" s="87"/>
      <c r="D75" s="82" t="s">
        <v>146</v>
      </c>
      <c r="E75" s="82"/>
      <c r="F75" s="85"/>
      <c r="G75" s="82"/>
    </row>
    <row r="76" spans="2:7" ht="42" customHeight="1">
      <c r="B76" s="22"/>
      <c r="C76" s="87"/>
      <c r="D76" s="82" t="s">
        <v>147</v>
      </c>
      <c r="E76" s="82"/>
      <c r="F76" s="85"/>
      <c r="G76" s="84" t="s">
        <v>318</v>
      </c>
    </row>
    <row r="77" spans="2:7" ht="18" customHeight="1">
      <c r="B77" s="22"/>
      <c r="C77" s="87" t="s">
        <v>176</v>
      </c>
      <c r="D77" s="82"/>
      <c r="E77" s="82" t="s">
        <v>177</v>
      </c>
      <c r="F77" s="85"/>
      <c r="G77" s="82"/>
    </row>
    <row r="78" spans="2:7" ht="39" customHeight="1">
      <c r="B78" s="22"/>
      <c r="C78" s="87"/>
      <c r="D78" s="82" t="s">
        <v>178</v>
      </c>
      <c r="E78" s="82"/>
      <c r="F78" s="85"/>
      <c r="G78" s="84" t="s">
        <v>328</v>
      </c>
    </row>
    <row r="79" spans="2:7" ht="18" customHeight="1">
      <c r="B79" s="22"/>
      <c r="C79" s="87"/>
      <c r="D79" s="82" t="s">
        <v>179</v>
      </c>
      <c r="E79" s="82" t="s">
        <v>180</v>
      </c>
      <c r="F79" s="85"/>
      <c r="G79" s="82"/>
    </row>
    <row r="80" spans="2:7" ht="18" customHeight="1">
      <c r="B80" s="22"/>
      <c r="C80" s="87"/>
      <c r="D80" s="82" t="s">
        <v>181</v>
      </c>
      <c r="E80" s="82" t="s">
        <v>182</v>
      </c>
      <c r="F80" s="85"/>
      <c r="G80" s="82"/>
    </row>
    <row r="81" spans="2:7" ht="45.75" customHeight="1">
      <c r="B81" s="22"/>
      <c r="C81" s="87"/>
      <c r="D81" s="82" t="s">
        <v>183</v>
      </c>
      <c r="E81" s="84" t="s">
        <v>184</v>
      </c>
      <c r="F81" s="85"/>
      <c r="G81" s="84" t="s">
        <v>185</v>
      </c>
    </row>
    <row r="82" spans="2:7" ht="34.5" customHeight="1">
      <c r="B82" s="22"/>
      <c r="C82" s="87"/>
      <c r="D82" s="82" t="s">
        <v>186</v>
      </c>
      <c r="E82" s="82"/>
      <c r="F82" s="85"/>
      <c r="G82" s="84" t="s">
        <v>321</v>
      </c>
    </row>
    <row r="83" spans="2:7" ht="18" customHeight="1">
      <c r="B83" s="22"/>
      <c r="C83" s="87"/>
      <c r="D83" s="82" t="s">
        <v>187</v>
      </c>
      <c r="E83" s="82"/>
      <c r="F83" s="85"/>
      <c r="G83" s="82"/>
    </row>
    <row r="84" spans="2:7" ht="18" customHeight="1">
      <c r="B84" s="22"/>
      <c r="C84" s="87"/>
      <c r="D84" s="82" t="s">
        <v>188</v>
      </c>
      <c r="E84" s="82"/>
      <c r="F84" s="85"/>
      <c r="G84" s="82"/>
    </row>
    <row r="85" spans="2:7" ht="18" customHeight="1">
      <c r="B85" s="22"/>
      <c r="C85" s="87"/>
      <c r="D85" s="82" t="s">
        <v>189</v>
      </c>
      <c r="E85" s="82"/>
      <c r="F85" s="85"/>
      <c r="G85" s="82"/>
    </row>
    <row r="86" spans="2:7" ht="18" customHeight="1">
      <c r="B86" s="22"/>
      <c r="C86" s="87"/>
      <c r="D86" s="82" t="s">
        <v>190</v>
      </c>
      <c r="E86" s="82" t="s">
        <v>191</v>
      </c>
      <c r="F86" s="85"/>
      <c r="G86" s="82"/>
    </row>
    <row r="87" spans="2:7" ht="18" customHeight="1">
      <c r="B87" s="22"/>
      <c r="C87" s="87"/>
      <c r="D87" s="82" t="s">
        <v>192</v>
      </c>
      <c r="E87" s="82" t="s">
        <v>193</v>
      </c>
      <c r="F87" s="85"/>
      <c r="G87" s="82"/>
    </row>
    <row r="88" spans="2:7" ht="30" customHeight="1">
      <c r="B88" s="22"/>
      <c r="C88" s="87"/>
      <c r="D88" s="82" t="s">
        <v>88</v>
      </c>
      <c r="E88" s="82"/>
      <c r="F88" s="85"/>
      <c r="G88" s="84" t="s">
        <v>321</v>
      </c>
    </row>
    <row r="89" spans="2:7" ht="18" customHeight="1">
      <c r="B89" s="22"/>
      <c r="C89" s="87"/>
      <c r="D89" s="82" t="s">
        <v>89</v>
      </c>
      <c r="E89" s="82"/>
      <c r="F89" s="85"/>
      <c r="G89" s="82"/>
    </row>
    <row r="90" spans="2:7" ht="18" customHeight="1">
      <c r="B90" s="22"/>
      <c r="C90" s="87"/>
      <c r="D90" s="82" t="s">
        <v>90</v>
      </c>
      <c r="E90" s="82"/>
      <c r="F90" s="85"/>
      <c r="G90" s="82"/>
    </row>
    <row r="91" spans="2:7" ht="18" customHeight="1">
      <c r="B91" s="22"/>
      <c r="C91" s="87"/>
      <c r="D91" s="82" t="s">
        <v>194</v>
      </c>
      <c r="E91" s="82"/>
      <c r="F91" s="85"/>
      <c r="G91" s="82"/>
    </row>
    <row r="92" spans="2:7" ht="18" customHeight="1">
      <c r="B92" s="22"/>
      <c r="C92" s="87" t="s">
        <v>195</v>
      </c>
      <c r="D92" s="82"/>
      <c r="E92" s="82"/>
      <c r="F92" s="85"/>
      <c r="G92" s="82"/>
    </row>
    <row r="93" spans="2:7" ht="18" customHeight="1">
      <c r="B93" s="22"/>
      <c r="C93" s="87"/>
      <c r="D93" s="82" t="s">
        <v>196</v>
      </c>
      <c r="E93" s="82"/>
      <c r="F93" s="85"/>
      <c r="G93" s="82" t="s">
        <v>197</v>
      </c>
    </row>
    <row r="94" spans="2:7" ht="18" customHeight="1">
      <c r="B94" s="22"/>
      <c r="C94" s="87"/>
      <c r="D94" s="82" t="s">
        <v>198</v>
      </c>
      <c r="E94" s="82" t="s">
        <v>199</v>
      </c>
      <c r="F94" s="85"/>
      <c r="G94" s="82" t="s">
        <v>200</v>
      </c>
    </row>
    <row r="95" spans="2:7" ht="18" customHeight="1">
      <c r="B95" s="22"/>
      <c r="C95" s="87"/>
      <c r="D95" s="82" t="s">
        <v>201</v>
      </c>
      <c r="E95" s="82"/>
      <c r="F95" s="85"/>
      <c r="G95" s="82" t="s">
        <v>202</v>
      </c>
    </row>
    <row r="96" spans="2:7" ht="18" customHeight="1">
      <c r="B96" s="22"/>
      <c r="C96" s="87"/>
      <c r="D96" s="82" t="s">
        <v>203</v>
      </c>
      <c r="E96" s="82"/>
      <c r="F96" s="85"/>
      <c r="G96" s="82" t="s">
        <v>204</v>
      </c>
    </row>
    <row r="97" spans="2:7" ht="27.75" customHeight="1">
      <c r="B97" s="22"/>
      <c r="C97" s="87"/>
      <c r="D97" s="82" t="s">
        <v>88</v>
      </c>
      <c r="E97" s="82"/>
      <c r="F97" s="85"/>
      <c r="G97" s="84" t="s">
        <v>321</v>
      </c>
    </row>
    <row r="98" spans="2:7" ht="18" customHeight="1">
      <c r="B98" s="22"/>
      <c r="C98" s="87"/>
      <c r="D98" s="82" t="s">
        <v>89</v>
      </c>
      <c r="E98" s="82"/>
      <c r="F98" s="85"/>
      <c r="G98" s="82"/>
    </row>
    <row r="99" spans="2:7" ht="37.5" customHeight="1">
      <c r="B99" s="22"/>
      <c r="C99" s="87"/>
      <c r="D99" s="82" t="s">
        <v>90</v>
      </c>
      <c r="E99" s="82"/>
      <c r="F99" s="85"/>
      <c r="G99" s="84" t="s">
        <v>318</v>
      </c>
    </row>
    <row r="100" spans="2:7" ht="18" customHeight="1">
      <c r="B100" s="22"/>
      <c r="C100" s="87" t="s">
        <v>205</v>
      </c>
      <c r="D100" s="82"/>
      <c r="E100" s="82"/>
      <c r="F100" s="85"/>
      <c r="G100" s="82" t="s">
        <v>206</v>
      </c>
    </row>
    <row r="101" spans="2:7" ht="18" customHeight="1">
      <c r="B101" s="22"/>
      <c r="C101" s="87"/>
      <c r="D101" s="82" t="s">
        <v>207</v>
      </c>
      <c r="E101" s="82"/>
      <c r="F101" s="85"/>
      <c r="G101" s="82"/>
    </row>
    <row r="102" spans="2:7" ht="18" customHeight="1">
      <c r="B102" s="22"/>
      <c r="C102" s="87"/>
      <c r="D102" s="82" t="s">
        <v>208</v>
      </c>
      <c r="E102" s="82" t="s">
        <v>336</v>
      </c>
      <c r="F102" s="85"/>
      <c r="G102" s="82"/>
    </row>
    <row r="103" spans="2:7" ht="18" customHeight="1">
      <c r="B103" s="22"/>
      <c r="C103" s="87"/>
      <c r="D103" s="82" t="s">
        <v>209</v>
      </c>
      <c r="E103" s="82"/>
      <c r="F103" s="85"/>
      <c r="G103" s="82"/>
    </row>
    <row r="104" spans="2:7" ht="18" customHeight="1">
      <c r="B104" s="22"/>
      <c r="C104" s="87"/>
      <c r="D104" s="82" t="s">
        <v>210</v>
      </c>
      <c r="E104" s="82"/>
      <c r="F104" s="85"/>
      <c r="G104" s="82"/>
    </row>
    <row r="105" spans="2:7" ht="38.25" customHeight="1">
      <c r="B105" s="22"/>
      <c r="C105" s="87"/>
      <c r="D105" s="82" t="s">
        <v>211</v>
      </c>
      <c r="E105" s="82"/>
      <c r="F105" s="85"/>
      <c r="G105" s="84" t="s">
        <v>318</v>
      </c>
    </row>
    <row r="106" spans="2:7" ht="18" customHeight="1">
      <c r="B106" s="22"/>
      <c r="C106" s="87" t="s">
        <v>212</v>
      </c>
      <c r="D106" s="82"/>
      <c r="E106" s="82"/>
      <c r="F106" s="85"/>
      <c r="G106" s="82"/>
    </row>
    <row r="107" spans="2:7" ht="18" customHeight="1">
      <c r="B107" s="22"/>
      <c r="C107" s="87"/>
      <c r="D107" s="82" t="s">
        <v>213</v>
      </c>
      <c r="E107" s="82"/>
      <c r="F107" s="85"/>
      <c r="G107" s="82"/>
    </row>
    <row r="108" spans="2:7" ht="18" customHeight="1">
      <c r="B108" s="22"/>
      <c r="C108" s="87"/>
      <c r="D108" s="82" t="s">
        <v>214</v>
      </c>
      <c r="E108" s="82"/>
      <c r="F108" s="85"/>
      <c r="G108" s="82" t="s">
        <v>215</v>
      </c>
    </row>
    <row r="109" spans="2:7" ht="18" customHeight="1">
      <c r="B109" s="22"/>
      <c r="C109" s="87"/>
      <c r="D109" s="82" t="s">
        <v>216</v>
      </c>
      <c r="E109" s="82"/>
      <c r="F109" s="85"/>
      <c r="G109" s="82" t="s">
        <v>217</v>
      </c>
    </row>
    <row r="110" spans="2:7" ht="34.5" customHeight="1">
      <c r="B110" s="22"/>
      <c r="C110" s="87"/>
      <c r="D110" s="82" t="s">
        <v>218</v>
      </c>
      <c r="E110" s="82"/>
      <c r="F110" s="85"/>
      <c r="G110" s="84" t="s">
        <v>321</v>
      </c>
    </row>
    <row r="111" spans="2:7" ht="18" customHeight="1">
      <c r="B111" s="22"/>
      <c r="C111" s="87" t="s">
        <v>219</v>
      </c>
      <c r="D111" s="82"/>
      <c r="E111" s="82"/>
      <c r="F111" s="85"/>
      <c r="G111" s="82"/>
    </row>
    <row r="112" spans="2:7" ht="26.4">
      <c r="B112" s="22"/>
      <c r="C112" s="87"/>
      <c r="D112" s="82" t="s">
        <v>220</v>
      </c>
      <c r="E112" s="84" t="s">
        <v>221</v>
      </c>
      <c r="F112" s="85"/>
      <c r="G112" s="82" t="s">
        <v>316</v>
      </c>
    </row>
    <row r="113" spans="2:7" ht="18" customHeight="1">
      <c r="B113" s="22"/>
      <c r="C113" s="87"/>
      <c r="D113" s="82" t="s">
        <v>222</v>
      </c>
      <c r="E113" s="82"/>
      <c r="F113" s="85"/>
      <c r="G113" s="82"/>
    </row>
    <row r="114" spans="2:7" ht="27" customHeight="1">
      <c r="B114" s="22"/>
      <c r="C114" s="87"/>
      <c r="D114" s="82" t="s">
        <v>223</v>
      </c>
      <c r="E114" s="82"/>
      <c r="F114" s="85"/>
      <c r="G114" s="84" t="s">
        <v>321</v>
      </c>
    </row>
    <row r="115" spans="2:7" ht="18" customHeight="1">
      <c r="B115" s="22"/>
      <c r="C115" s="87"/>
      <c r="D115" s="82" t="s">
        <v>211</v>
      </c>
      <c r="E115" s="82"/>
      <c r="F115" s="85"/>
      <c r="G115" s="82"/>
    </row>
    <row r="116" spans="2:7" ht="37.5" customHeight="1">
      <c r="B116" s="22"/>
      <c r="C116" s="87"/>
      <c r="D116" s="82" t="s">
        <v>145</v>
      </c>
      <c r="E116" s="82"/>
      <c r="F116" s="85"/>
      <c r="G116" s="84" t="s">
        <v>321</v>
      </c>
    </row>
    <row r="117" spans="2:7" ht="18" customHeight="1">
      <c r="B117" s="22"/>
      <c r="C117" s="87"/>
      <c r="D117" s="82" t="s">
        <v>146</v>
      </c>
      <c r="E117" s="82"/>
      <c r="F117" s="85"/>
      <c r="G117" s="82"/>
    </row>
    <row r="118" spans="2:7" ht="36.75" customHeight="1">
      <c r="B118" s="22"/>
      <c r="C118" s="87"/>
      <c r="D118" s="82" t="s">
        <v>147</v>
      </c>
      <c r="E118" s="82"/>
      <c r="F118" s="85"/>
      <c r="G118" s="84" t="s">
        <v>97</v>
      </c>
    </row>
    <row r="119" spans="2:7" ht="18" customHeight="1">
      <c r="B119" s="22"/>
      <c r="C119" s="87" t="s">
        <v>224</v>
      </c>
      <c r="D119" s="82"/>
      <c r="E119" s="82" t="s">
        <v>225</v>
      </c>
      <c r="F119" s="85"/>
      <c r="G119" s="82"/>
    </row>
    <row r="120" spans="2:7" ht="18" customHeight="1">
      <c r="B120" s="22"/>
      <c r="C120" s="87"/>
      <c r="D120" s="82" t="s">
        <v>226</v>
      </c>
      <c r="E120" s="82" t="s">
        <v>337</v>
      </c>
      <c r="F120" s="85"/>
      <c r="G120" s="82"/>
    </row>
    <row r="121" spans="2:7" ht="18" customHeight="1">
      <c r="B121" s="22"/>
      <c r="C121" s="87"/>
      <c r="D121" s="82" t="s">
        <v>227</v>
      </c>
      <c r="E121" s="82" t="s">
        <v>228</v>
      </c>
      <c r="F121" s="85"/>
      <c r="G121" s="82"/>
    </row>
    <row r="122" spans="2:7" ht="18" customHeight="1">
      <c r="B122" s="22"/>
      <c r="C122" s="87"/>
      <c r="D122" s="82" t="s">
        <v>229</v>
      </c>
      <c r="E122" s="82"/>
      <c r="F122" s="85"/>
      <c r="G122" s="82"/>
    </row>
    <row r="123" spans="2:7" ht="18" customHeight="1">
      <c r="B123" s="22"/>
      <c r="C123" s="87"/>
      <c r="D123" s="82" t="s">
        <v>230</v>
      </c>
      <c r="E123" s="82"/>
      <c r="F123" s="85"/>
      <c r="G123" s="82" t="s">
        <v>231</v>
      </c>
    </row>
    <row r="124" spans="2:7" ht="18" customHeight="1">
      <c r="B124" s="22"/>
      <c r="C124" s="87"/>
      <c r="D124" s="82" t="s">
        <v>232</v>
      </c>
      <c r="E124" s="82"/>
      <c r="F124" s="85"/>
      <c r="G124" s="82" t="s">
        <v>233</v>
      </c>
    </row>
    <row r="125" spans="2:7" ht="36" customHeight="1">
      <c r="B125" s="22"/>
      <c r="C125" s="87"/>
      <c r="D125" s="82" t="s">
        <v>223</v>
      </c>
      <c r="E125" s="82"/>
      <c r="F125" s="85"/>
      <c r="G125" s="84" t="s">
        <v>322</v>
      </c>
    </row>
    <row r="126" spans="2:7" ht="18" customHeight="1">
      <c r="B126" s="22"/>
      <c r="C126" s="87"/>
      <c r="D126" s="82" t="s">
        <v>211</v>
      </c>
      <c r="E126" s="82"/>
      <c r="F126" s="85"/>
      <c r="G126" s="82"/>
    </row>
    <row r="127" spans="2:7" ht="18" customHeight="1">
      <c r="B127" s="22"/>
      <c r="C127" s="87"/>
      <c r="D127" s="82" t="s">
        <v>234</v>
      </c>
      <c r="E127" s="82"/>
      <c r="F127" s="85"/>
      <c r="G127" s="82"/>
    </row>
    <row r="128" spans="2:7" ht="18" customHeight="1">
      <c r="B128" s="22"/>
      <c r="C128" s="87"/>
      <c r="D128" s="82" t="s">
        <v>235</v>
      </c>
      <c r="E128" s="82"/>
      <c r="F128" s="85"/>
      <c r="G128" s="82" t="s">
        <v>236</v>
      </c>
    </row>
    <row r="129" spans="2:7" ht="49.5" customHeight="1">
      <c r="B129" s="22"/>
      <c r="C129" s="87"/>
      <c r="D129" s="82" t="s">
        <v>237</v>
      </c>
      <c r="E129" s="82"/>
      <c r="F129" s="85"/>
      <c r="G129" s="84" t="s">
        <v>321</v>
      </c>
    </row>
    <row r="130" spans="2:7" ht="18" customHeight="1">
      <c r="B130" s="22"/>
      <c r="C130" s="87"/>
      <c r="D130" s="82" t="s">
        <v>238</v>
      </c>
      <c r="E130" s="86" t="s">
        <v>239</v>
      </c>
      <c r="F130" s="85"/>
      <c r="G130" s="82" t="s">
        <v>240</v>
      </c>
    </row>
    <row r="131" spans="2:7" ht="26.4">
      <c r="B131" s="22"/>
      <c r="C131" s="87"/>
      <c r="D131" s="82" t="s">
        <v>241</v>
      </c>
      <c r="E131" s="82"/>
      <c r="F131" s="85"/>
      <c r="G131" s="84" t="s">
        <v>318</v>
      </c>
    </row>
    <row r="132" spans="2:7" ht="18" customHeight="1">
      <c r="B132" s="22"/>
      <c r="C132" s="87" t="s">
        <v>242</v>
      </c>
      <c r="D132" s="82"/>
      <c r="E132" s="82" t="s">
        <v>243</v>
      </c>
      <c r="F132" s="85"/>
      <c r="G132" s="82"/>
    </row>
    <row r="133" spans="2:7" ht="18" customHeight="1">
      <c r="B133" s="22"/>
      <c r="C133" s="87"/>
      <c r="D133" s="82" t="s">
        <v>227</v>
      </c>
      <c r="E133" s="82" t="s">
        <v>244</v>
      </c>
      <c r="F133" s="85"/>
      <c r="G133" s="82"/>
    </row>
    <row r="134" spans="2:7" ht="27" customHeight="1">
      <c r="B134" s="22"/>
      <c r="C134" s="87"/>
      <c r="D134" s="82" t="s">
        <v>245</v>
      </c>
      <c r="E134" s="82"/>
      <c r="F134" s="85"/>
      <c r="G134" s="84" t="s">
        <v>323</v>
      </c>
    </row>
    <row r="135" spans="2:7" ht="18" customHeight="1">
      <c r="B135" s="22"/>
      <c r="C135" s="87"/>
      <c r="D135" s="82" t="s">
        <v>222</v>
      </c>
      <c r="E135" s="82"/>
      <c r="F135" s="85"/>
      <c r="G135" s="82"/>
    </row>
    <row r="136" spans="2:7" ht="39.75" customHeight="1">
      <c r="B136" s="22"/>
      <c r="C136" s="87"/>
      <c r="D136" s="82" t="s">
        <v>223</v>
      </c>
      <c r="E136" s="82"/>
      <c r="F136" s="85"/>
      <c r="G136" s="84" t="s">
        <v>322</v>
      </c>
    </row>
    <row r="137" spans="2:7" ht="18" customHeight="1">
      <c r="B137" s="22"/>
      <c r="C137" s="87"/>
      <c r="D137" s="82" t="s">
        <v>211</v>
      </c>
      <c r="E137" s="82"/>
      <c r="F137" s="85"/>
      <c r="G137" s="82"/>
    </row>
    <row r="138" spans="2:7" ht="18" customHeight="1">
      <c r="B138" s="22"/>
      <c r="C138" s="87"/>
      <c r="D138" s="82" t="s">
        <v>246</v>
      </c>
      <c r="E138" s="82"/>
      <c r="F138" s="85"/>
      <c r="G138" s="82"/>
    </row>
    <row r="139" spans="2:7">
      <c r="B139" s="22"/>
      <c r="C139" s="87"/>
      <c r="D139" s="82" t="s">
        <v>247</v>
      </c>
      <c r="E139" s="82"/>
      <c r="F139" s="85"/>
      <c r="G139" s="82" t="s">
        <v>248</v>
      </c>
    </row>
    <row r="140" spans="2:7" ht="39.75" customHeight="1">
      <c r="B140" s="22"/>
      <c r="C140" s="87"/>
      <c r="D140" s="82" t="s">
        <v>249</v>
      </c>
      <c r="E140" s="82"/>
      <c r="F140" s="85"/>
      <c r="G140" s="84" t="s">
        <v>322</v>
      </c>
    </row>
    <row r="141" spans="2:7" ht="26.4">
      <c r="B141" s="22"/>
      <c r="C141" s="87"/>
      <c r="D141" s="82" t="s">
        <v>250</v>
      </c>
      <c r="E141" s="82"/>
      <c r="F141" s="85"/>
      <c r="G141" s="84" t="s">
        <v>318</v>
      </c>
    </row>
    <row r="142" spans="2:7" ht="26.4">
      <c r="B142" s="22"/>
      <c r="C142" s="87" t="s">
        <v>251</v>
      </c>
      <c r="D142" s="82"/>
      <c r="E142" s="84" t="s">
        <v>252</v>
      </c>
      <c r="F142" s="85"/>
      <c r="G142" s="82"/>
    </row>
    <row r="143" spans="2:7">
      <c r="B143" s="22"/>
      <c r="C143" s="87"/>
      <c r="D143" s="82" t="s">
        <v>227</v>
      </c>
      <c r="E143" s="82" t="s">
        <v>253</v>
      </c>
      <c r="F143" s="85"/>
      <c r="G143" s="82"/>
    </row>
    <row r="144" spans="2:7" ht="33" customHeight="1">
      <c r="B144" s="22"/>
      <c r="C144" s="87"/>
      <c r="D144" s="82" t="s">
        <v>254</v>
      </c>
      <c r="E144" s="82"/>
      <c r="F144" s="85"/>
      <c r="G144" s="84" t="s">
        <v>329</v>
      </c>
    </row>
    <row r="145" spans="2:7" ht="18" customHeight="1">
      <c r="B145" s="22"/>
      <c r="C145" s="87"/>
      <c r="D145" s="82" t="s">
        <v>222</v>
      </c>
      <c r="E145" s="82"/>
      <c r="F145" s="85"/>
      <c r="G145" s="82"/>
    </row>
    <row r="146" spans="2:7" ht="27" customHeight="1">
      <c r="B146" s="22"/>
      <c r="C146" s="87"/>
      <c r="D146" s="82" t="s">
        <v>223</v>
      </c>
      <c r="E146" s="82"/>
      <c r="F146" s="85"/>
      <c r="G146" s="84" t="s">
        <v>321</v>
      </c>
    </row>
    <row r="147" spans="2:7" ht="18" customHeight="1">
      <c r="B147" s="22"/>
      <c r="C147" s="87"/>
      <c r="D147" s="82" t="s">
        <v>211</v>
      </c>
      <c r="E147" s="82"/>
      <c r="F147" s="85"/>
      <c r="G147" s="82"/>
    </row>
    <row r="148" spans="2:7" ht="18" customHeight="1">
      <c r="B148" s="22"/>
      <c r="C148" s="87"/>
      <c r="D148" s="82" t="s">
        <v>255</v>
      </c>
      <c r="E148" s="82"/>
      <c r="F148" s="85"/>
      <c r="G148" s="82" t="s">
        <v>256</v>
      </c>
    </row>
    <row r="149" spans="2:7" ht="18" customHeight="1">
      <c r="B149" s="22"/>
      <c r="C149" s="87"/>
      <c r="D149" s="82" t="s">
        <v>257</v>
      </c>
      <c r="E149" s="82"/>
      <c r="F149" s="85"/>
      <c r="G149" s="82" t="s">
        <v>258</v>
      </c>
    </row>
    <row r="150" spans="2:7" ht="18" customHeight="1">
      <c r="B150" s="22"/>
      <c r="C150" s="87"/>
      <c r="D150" s="82" t="s">
        <v>259</v>
      </c>
      <c r="E150" s="82"/>
      <c r="F150" s="85"/>
      <c r="G150" s="82" t="s">
        <v>260</v>
      </c>
    </row>
    <row r="151" spans="2:7" ht="18" customHeight="1">
      <c r="B151" s="22"/>
      <c r="C151" s="87"/>
      <c r="D151" s="82" t="s">
        <v>222</v>
      </c>
      <c r="E151" s="82"/>
      <c r="F151" s="85"/>
      <c r="G151" s="82"/>
    </row>
    <row r="152" spans="2:7" ht="39" customHeight="1">
      <c r="B152" s="22"/>
      <c r="C152" s="87"/>
      <c r="D152" s="82" t="s">
        <v>223</v>
      </c>
      <c r="E152" s="82"/>
      <c r="F152" s="85"/>
      <c r="G152" s="84" t="s">
        <v>322</v>
      </c>
    </row>
    <row r="153" spans="2:7" ht="18" customHeight="1">
      <c r="B153" s="22"/>
      <c r="C153" s="87"/>
      <c r="D153" s="82" t="s">
        <v>211</v>
      </c>
      <c r="E153" s="82"/>
      <c r="F153" s="85"/>
      <c r="G153" s="82"/>
    </row>
    <row r="154" spans="2:7" ht="34.5" customHeight="1">
      <c r="B154" s="22"/>
      <c r="C154" s="87"/>
      <c r="D154" s="82" t="s">
        <v>261</v>
      </c>
      <c r="E154" s="82"/>
      <c r="F154" s="85"/>
      <c r="G154" s="84" t="s">
        <v>322</v>
      </c>
    </row>
    <row r="155" spans="2:7" ht="18" customHeight="1">
      <c r="B155" s="22"/>
      <c r="C155" s="87"/>
      <c r="D155" s="82" t="s">
        <v>262</v>
      </c>
      <c r="E155" s="82" t="s">
        <v>263</v>
      </c>
      <c r="F155" s="85"/>
      <c r="G155" s="82"/>
    </row>
    <row r="156" spans="2:7" ht="27.75" customHeight="1">
      <c r="B156" s="22"/>
      <c r="C156" s="87"/>
      <c r="D156" s="82" t="s">
        <v>264</v>
      </c>
      <c r="E156" s="82"/>
      <c r="F156" s="85"/>
      <c r="G156" s="84" t="s">
        <v>318</v>
      </c>
    </row>
    <row r="157" spans="2:7" ht="18" customHeight="1">
      <c r="B157" s="22"/>
      <c r="C157" s="87" t="s">
        <v>265</v>
      </c>
      <c r="D157" s="82"/>
      <c r="E157" s="82"/>
      <c r="F157" s="85"/>
      <c r="G157" s="82"/>
    </row>
    <row r="158" spans="2:7">
      <c r="B158" s="22"/>
      <c r="C158" s="87"/>
      <c r="D158" s="82" t="s">
        <v>266</v>
      </c>
      <c r="E158" s="82" t="s">
        <v>267</v>
      </c>
      <c r="F158" s="85"/>
      <c r="G158" s="82" t="s">
        <v>268</v>
      </c>
    </row>
    <row r="159" spans="2:7" ht="18" customHeight="1">
      <c r="B159" s="22"/>
      <c r="C159" s="87"/>
      <c r="D159" s="82" t="s">
        <v>269</v>
      </c>
      <c r="E159" s="82" t="s">
        <v>270</v>
      </c>
      <c r="F159" s="85"/>
      <c r="G159" s="82" t="s">
        <v>271</v>
      </c>
    </row>
    <row r="160" spans="2:7" ht="18" customHeight="1">
      <c r="B160" s="22"/>
      <c r="C160" s="87"/>
      <c r="D160" s="82" t="s">
        <v>272</v>
      </c>
      <c r="E160" s="82" t="s">
        <v>273</v>
      </c>
      <c r="F160" s="85"/>
      <c r="G160" s="82"/>
    </row>
    <row r="161" spans="2:7" ht="18" customHeight="1">
      <c r="B161" s="22"/>
      <c r="C161" s="87" t="s">
        <v>274</v>
      </c>
      <c r="D161" s="82"/>
      <c r="E161" s="82"/>
      <c r="F161" s="85"/>
      <c r="G161" s="82"/>
    </row>
    <row r="162" spans="2:7" ht="18" customHeight="1">
      <c r="B162" s="22"/>
      <c r="C162" s="87"/>
      <c r="D162" s="82" t="s">
        <v>227</v>
      </c>
      <c r="E162" s="82" t="s">
        <v>275</v>
      </c>
      <c r="F162" s="85"/>
      <c r="G162" s="82"/>
    </row>
    <row r="163" spans="2:7" ht="18" customHeight="1">
      <c r="B163" s="22"/>
      <c r="C163" s="87"/>
      <c r="D163" s="82" t="s">
        <v>276</v>
      </c>
      <c r="E163" s="82"/>
      <c r="F163" s="85"/>
      <c r="G163" s="82"/>
    </row>
    <row r="164" spans="2:7" ht="37.5" customHeight="1">
      <c r="B164" s="22"/>
      <c r="C164" s="87"/>
      <c r="D164" s="82" t="s">
        <v>277</v>
      </c>
      <c r="E164" s="82"/>
      <c r="F164" s="85"/>
      <c r="G164" s="84" t="s">
        <v>318</v>
      </c>
    </row>
    <row r="165" spans="2:7" ht="18" customHeight="1">
      <c r="B165" s="22"/>
      <c r="C165" s="87" t="s">
        <v>278</v>
      </c>
      <c r="D165" s="82"/>
      <c r="E165" s="82"/>
      <c r="F165" s="85"/>
      <c r="G165" s="82"/>
    </row>
    <row r="166" spans="2:7" ht="18" customHeight="1">
      <c r="B166" s="22"/>
      <c r="C166" s="87"/>
      <c r="D166" s="82" t="s">
        <v>279</v>
      </c>
      <c r="E166" s="82"/>
      <c r="F166" s="85"/>
      <c r="G166" s="82"/>
    </row>
    <row r="167" spans="2:7" ht="18" customHeight="1">
      <c r="B167" s="22"/>
      <c r="C167" s="87"/>
      <c r="D167" s="82" t="s">
        <v>280</v>
      </c>
      <c r="E167" s="82"/>
      <c r="F167" s="85"/>
      <c r="G167" s="82" t="s">
        <v>281</v>
      </c>
    </row>
    <row r="168" spans="2:7" ht="18" customHeight="1">
      <c r="B168" s="22"/>
      <c r="C168" s="87"/>
      <c r="D168" s="82" t="s">
        <v>282</v>
      </c>
      <c r="E168" s="82"/>
      <c r="F168" s="85"/>
      <c r="G168" s="82"/>
    </row>
    <row r="169" spans="2:7" ht="51" customHeight="1">
      <c r="B169" s="22"/>
      <c r="C169" s="87"/>
      <c r="D169" s="82" t="s">
        <v>283</v>
      </c>
      <c r="E169" s="82"/>
      <c r="F169" s="85"/>
      <c r="G169" s="84" t="s">
        <v>322</v>
      </c>
    </row>
    <row r="170" spans="2:7" ht="18" customHeight="1">
      <c r="B170" s="22"/>
      <c r="C170" s="87"/>
      <c r="D170" s="82" t="s">
        <v>284</v>
      </c>
      <c r="E170" s="82"/>
      <c r="F170" s="85"/>
      <c r="G170" s="82"/>
    </row>
    <row r="171" spans="2:7" ht="18" customHeight="1">
      <c r="B171" s="22"/>
      <c r="C171" s="87"/>
      <c r="D171" s="82" t="s">
        <v>285</v>
      </c>
      <c r="E171" s="82"/>
      <c r="F171" s="85"/>
      <c r="G171" s="82"/>
    </row>
    <row r="172" spans="2:7" s="92" customFormat="1" ht="52.8">
      <c r="B172" s="88"/>
      <c r="C172" s="97"/>
      <c r="D172" s="89" t="s">
        <v>338</v>
      </c>
      <c r="E172" s="90" t="s">
        <v>286</v>
      </c>
      <c r="F172" s="91"/>
      <c r="G172" s="89" t="s">
        <v>287</v>
      </c>
    </row>
    <row r="173" spans="2:7" s="92" customFormat="1" ht="18" customHeight="1">
      <c r="B173" s="88"/>
      <c r="C173" s="97"/>
      <c r="D173" s="89" t="s">
        <v>222</v>
      </c>
      <c r="E173" s="89"/>
      <c r="F173" s="91"/>
      <c r="G173" s="89"/>
    </row>
    <row r="174" spans="2:7" s="92" customFormat="1" ht="29.25" customHeight="1">
      <c r="B174" s="88"/>
      <c r="C174" s="97"/>
      <c r="D174" s="89" t="s">
        <v>223</v>
      </c>
      <c r="E174" s="89"/>
      <c r="F174" s="91"/>
      <c r="G174" s="84" t="s">
        <v>322</v>
      </c>
    </row>
    <row r="175" spans="2:7" s="92" customFormat="1" ht="18" customHeight="1">
      <c r="B175" s="88"/>
      <c r="C175" s="97"/>
      <c r="D175" s="89" t="s">
        <v>211</v>
      </c>
      <c r="E175" s="89"/>
      <c r="F175" s="91"/>
      <c r="G175" s="89"/>
    </row>
    <row r="176" spans="2:7" s="92" customFormat="1" ht="33.75" customHeight="1">
      <c r="B176" s="88"/>
      <c r="C176" s="97"/>
      <c r="D176" s="89" t="s">
        <v>288</v>
      </c>
      <c r="E176" s="89"/>
      <c r="F176" s="91"/>
      <c r="G176" s="84" t="s">
        <v>322</v>
      </c>
    </row>
    <row r="177" spans="2:7" s="92" customFormat="1" ht="18" customHeight="1">
      <c r="B177" s="88"/>
      <c r="C177" s="97"/>
      <c r="D177" s="89" t="s">
        <v>289</v>
      </c>
      <c r="E177" s="89"/>
      <c r="F177" s="91"/>
      <c r="G177" s="89"/>
    </row>
    <row r="178" spans="2:7" ht="39.6">
      <c r="B178" s="22"/>
      <c r="C178" s="87"/>
      <c r="D178" s="82" t="s">
        <v>290</v>
      </c>
      <c r="E178" s="84" t="s">
        <v>291</v>
      </c>
      <c r="F178" s="85"/>
      <c r="G178" s="82" t="s">
        <v>292</v>
      </c>
    </row>
    <row r="179" spans="2:7" ht="18" customHeight="1">
      <c r="B179" s="22"/>
      <c r="C179" s="87"/>
      <c r="D179" s="82" t="s">
        <v>222</v>
      </c>
      <c r="E179" s="82"/>
      <c r="F179" s="85"/>
      <c r="G179" s="82"/>
    </row>
    <row r="180" spans="2:7" ht="26.25" customHeight="1">
      <c r="B180" s="22"/>
      <c r="C180" s="87"/>
      <c r="D180" s="82" t="s">
        <v>223</v>
      </c>
      <c r="E180" s="82"/>
      <c r="F180" s="85"/>
      <c r="G180" s="84" t="s">
        <v>322</v>
      </c>
    </row>
    <row r="181" spans="2:7" ht="18" customHeight="1">
      <c r="B181" s="22"/>
      <c r="C181" s="87"/>
      <c r="D181" s="82" t="s">
        <v>211</v>
      </c>
      <c r="E181" s="82"/>
      <c r="F181" s="85"/>
      <c r="G181" s="82"/>
    </row>
    <row r="182" spans="2:7" ht="18" customHeight="1">
      <c r="B182" s="22"/>
      <c r="C182" s="87"/>
      <c r="D182" s="82" t="s">
        <v>293</v>
      </c>
      <c r="E182" s="82" t="s">
        <v>294</v>
      </c>
      <c r="F182" s="85"/>
      <c r="G182" s="82" t="s">
        <v>295</v>
      </c>
    </row>
    <row r="183" spans="2:7" ht="18" customHeight="1">
      <c r="B183" s="22"/>
      <c r="C183" s="87"/>
      <c r="D183" s="82" t="s">
        <v>222</v>
      </c>
      <c r="E183" s="82"/>
      <c r="F183" s="85"/>
      <c r="G183" s="82"/>
    </row>
    <row r="184" spans="2:7" ht="37.5" customHeight="1">
      <c r="B184" s="22"/>
      <c r="C184" s="87"/>
      <c r="D184" s="82" t="s">
        <v>223</v>
      </c>
      <c r="E184" s="82"/>
      <c r="F184" s="85"/>
      <c r="G184" s="84" t="s">
        <v>322</v>
      </c>
    </row>
    <row r="185" spans="2:7" ht="18" customHeight="1">
      <c r="B185" s="22"/>
      <c r="C185" s="87"/>
      <c r="D185" s="82" t="s">
        <v>211</v>
      </c>
      <c r="E185" s="82"/>
      <c r="F185" s="85"/>
      <c r="G185" s="82"/>
    </row>
    <row r="186" spans="2:7" ht="18" customHeight="1">
      <c r="B186" s="22"/>
      <c r="C186" s="87"/>
      <c r="D186" s="82" t="s">
        <v>296</v>
      </c>
      <c r="E186" s="82"/>
      <c r="F186" s="85"/>
      <c r="G186" s="82"/>
    </row>
    <row r="187" spans="2:7" ht="18" customHeight="1">
      <c r="B187" s="22"/>
      <c r="C187" s="87"/>
      <c r="D187" s="82" t="s">
        <v>297</v>
      </c>
      <c r="E187" s="82"/>
      <c r="F187" s="85"/>
      <c r="G187" s="82"/>
    </row>
    <row r="188" spans="2:7" ht="18" customHeight="1">
      <c r="B188" s="22"/>
      <c r="C188" s="87"/>
      <c r="D188" s="82" t="s">
        <v>298</v>
      </c>
      <c r="E188" s="82"/>
      <c r="F188" s="85"/>
      <c r="G188" s="82" t="s">
        <v>299</v>
      </c>
    </row>
    <row r="189" spans="2:7" ht="18" customHeight="1">
      <c r="B189" s="22"/>
      <c r="C189" s="87"/>
      <c r="D189" s="82" t="s">
        <v>300</v>
      </c>
      <c r="E189" s="82" t="s">
        <v>301</v>
      </c>
      <c r="F189" s="85"/>
      <c r="G189" s="82"/>
    </row>
    <row r="190" spans="2:7" ht="18" customHeight="1">
      <c r="B190" s="22"/>
      <c r="C190" s="87"/>
      <c r="D190" s="82" t="s">
        <v>302</v>
      </c>
      <c r="E190" s="82"/>
      <c r="F190" s="85"/>
      <c r="G190" s="82"/>
    </row>
    <row r="191" spans="2:7" ht="26.4">
      <c r="B191" s="22"/>
      <c r="C191" s="87"/>
      <c r="D191" s="82" t="s">
        <v>303</v>
      </c>
      <c r="E191" s="84" t="s">
        <v>304</v>
      </c>
      <c r="F191" s="85"/>
      <c r="G191" s="82"/>
    </row>
    <row r="192" spans="2:7" ht="18" customHeight="1">
      <c r="B192" s="22"/>
      <c r="C192" s="87"/>
      <c r="D192" s="82" t="s">
        <v>305</v>
      </c>
      <c r="E192" s="82"/>
      <c r="F192" s="85"/>
      <c r="G192" s="82"/>
    </row>
    <row r="193" spans="2:7" ht="18" customHeight="1">
      <c r="B193" s="22"/>
      <c r="C193" s="87"/>
      <c r="D193" s="82" t="s">
        <v>306</v>
      </c>
      <c r="E193" s="82"/>
      <c r="F193" s="85"/>
      <c r="G193" s="84" t="s">
        <v>320</v>
      </c>
    </row>
    <row r="194" spans="2:7" ht="18" customHeight="1">
      <c r="B194" s="22"/>
      <c r="C194" s="87" t="s">
        <v>307</v>
      </c>
      <c r="D194" s="82"/>
      <c r="E194" s="82"/>
      <c r="F194" s="85"/>
      <c r="G194" s="82"/>
    </row>
    <row r="195" spans="2:7" ht="27" customHeight="1">
      <c r="B195" s="22"/>
      <c r="C195" s="87"/>
      <c r="D195" s="82" t="s">
        <v>308</v>
      </c>
      <c r="E195" s="82" t="s">
        <v>309</v>
      </c>
      <c r="F195" s="85"/>
      <c r="G195" s="84" t="s">
        <v>320</v>
      </c>
    </row>
    <row r="196" spans="2:7" ht="18" customHeight="1">
      <c r="B196" s="22"/>
      <c r="C196" s="87"/>
      <c r="D196" s="82" t="s">
        <v>310</v>
      </c>
      <c r="E196" s="82" t="s">
        <v>311</v>
      </c>
      <c r="F196" s="85"/>
      <c r="G196" s="82"/>
    </row>
    <row r="197" spans="2:7" ht="18" customHeight="1">
      <c r="B197" s="22"/>
      <c r="C197" s="87"/>
      <c r="D197" s="82" t="s">
        <v>312</v>
      </c>
      <c r="E197" s="82"/>
      <c r="F197" s="85"/>
      <c r="G197" s="82"/>
    </row>
    <row r="198" spans="2:7" ht="18" customHeight="1">
      <c r="B198" s="22"/>
      <c r="C198" s="87" t="s">
        <v>313</v>
      </c>
      <c r="D198" s="82"/>
      <c r="E198" s="82"/>
      <c r="F198" s="85"/>
      <c r="G198" s="82"/>
    </row>
    <row r="199" spans="2:7" ht="66">
      <c r="B199" s="22"/>
      <c r="C199" s="87"/>
      <c r="D199" s="82" t="s">
        <v>339</v>
      </c>
      <c r="E199" s="84" t="s">
        <v>314</v>
      </c>
      <c r="F199" s="85"/>
      <c r="G199" s="82" t="s">
        <v>315</v>
      </c>
    </row>
    <row r="200" spans="2:7" ht="18" customHeight="1">
      <c r="B200" s="22"/>
      <c r="C200" s="87"/>
      <c r="D200" s="82" t="s">
        <v>222</v>
      </c>
      <c r="E200" s="82"/>
      <c r="F200" s="85"/>
      <c r="G200" s="82"/>
    </row>
    <row r="201" spans="2:7" ht="33.75" customHeight="1">
      <c r="B201" s="22"/>
      <c r="C201" s="87"/>
      <c r="D201" s="82" t="s">
        <v>223</v>
      </c>
      <c r="E201" s="82"/>
      <c r="F201" s="85"/>
      <c r="G201" s="84" t="s">
        <v>331</v>
      </c>
    </row>
    <row r="202" spans="2:7" ht="18" customHeight="1">
      <c r="B202" s="22"/>
      <c r="C202" s="87"/>
      <c r="D202" s="82" t="s">
        <v>211</v>
      </c>
      <c r="E202" s="82"/>
      <c r="F202" s="85"/>
      <c r="G202" s="82"/>
    </row>
    <row r="203" spans="2:7" ht="18" customHeight="1">
      <c r="B203" s="22"/>
      <c r="C203" s="87"/>
      <c r="D203" s="82"/>
      <c r="E203" s="82"/>
      <c r="F203" s="85"/>
      <c r="G203" s="82"/>
    </row>
    <row r="204" spans="2:7" ht="18" customHeight="1">
      <c r="B204" s="22"/>
      <c r="C204" s="87"/>
      <c r="D204" s="82"/>
      <c r="E204" s="82"/>
      <c r="F204" s="85"/>
      <c r="G204" s="82"/>
    </row>
  </sheetData>
  <mergeCells count="13">
    <mergeCell ref="B1:C1"/>
    <mergeCell ref="B2:C2"/>
    <mergeCell ref="D2:F2"/>
    <mergeCell ref="B3:C3"/>
    <mergeCell ref="D3:F3"/>
    <mergeCell ref="B11:B12"/>
    <mergeCell ref="C11:C12"/>
    <mergeCell ref="D11:D12"/>
    <mergeCell ref="E11:E12"/>
    <mergeCell ref="F11:F12"/>
    <mergeCell ref="G11:G12"/>
    <mergeCell ref="C45:G45"/>
    <mergeCell ref="C13:G13"/>
  </mergeCells>
  <phoneticPr fontId="53"/>
  <pageMargins left="0.23622047244094491" right="0.23622047244094491" top="0.74803149606299213" bottom="0.74803149606299213" header="0.31496062992125984" footer="0.31496062992125984"/>
  <pageSetup paperSize="9" scale="41" fitToHeight="0" orientation="portrait" r:id="rId1"/>
  <headerFooter>
    <oddHeader>&amp;R&amp;D</oddHeader>
    <oddFooter xml:space="preserve">&amp;C&amp;P／&amp;N&amp;RCopyright Toppan Printing Co., Ltd. All rights reserved.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12</vt:i4>
      </vt:variant>
    </vt:vector>
  </HeadingPairs>
  <TitlesOfParts>
    <vt:vector size="16" baseType="lpstr">
      <vt:lpstr>WBS</vt:lpstr>
      <vt:lpstr>説明</vt:lpstr>
      <vt:lpstr>変更履歴</vt:lpstr>
      <vt:lpstr>サンプル</vt:lpstr>
      <vt:lpstr>WBS!EndDayColumn</vt:lpstr>
      <vt:lpstr>WBS!PlannedEndDayColumn</vt:lpstr>
      <vt:lpstr>WBS!PlannedStartDayColumn</vt:lpstr>
      <vt:lpstr>WBS!Print_Area</vt:lpstr>
      <vt:lpstr>変更履歴!Print_Area</vt:lpstr>
      <vt:lpstr>WBS!Print_Titles</vt:lpstr>
      <vt:lpstr>サンプル!Print_Titles</vt:lpstr>
      <vt:lpstr>WBS!ProgressPercentageColumn</vt:lpstr>
      <vt:lpstr>WBS!ProjectStartDay</vt:lpstr>
      <vt:lpstr>WBS!StartDayColumn</vt:lpstr>
      <vt:lpstr>WBS!TaskNumberColumn</vt:lpstr>
      <vt:lpstr>WBS!WorkDaysColumn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pmo-kit</cp:lastModifiedBy>
  <cp:lastPrinted>2020-08-07T08:20:36Z</cp:lastPrinted>
  <dcterms:created xsi:type="dcterms:W3CDTF">2015-05-29T00:56:31Z</dcterms:created>
  <dcterms:modified xsi:type="dcterms:W3CDTF">2026-09-14T02:11:28Z</dcterms:modified>
</cp:coreProperties>
</file>